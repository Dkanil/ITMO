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ITMO\semester4\physics\"/>
    </mc:Choice>
  </mc:AlternateContent>
  <xr:revisionPtr revIDLastSave="0" documentId="13_ncr:1_{C58CA10D-6DDF-42E0-B5D9-0B5754CB22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4" i="1"/>
  <c r="I4" i="1"/>
  <c r="G4" i="1" s="1"/>
  <c r="G5" i="1"/>
  <c r="G6" i="1"/>
  <c r="G7" i="1"/>
  <c r="G8" i="1"/>
  <c r="G9" i="1"/>
  <c r="I5" i="1"/>
  <c r="I6" i="1"/>
  <c r="I7" i="1"/>
  <c r="I8" i="1"/>
  <c r="I9" i="1"/>
  <c r="E5" i="1"/>
  <c r="F5" i="1" s="1"/>
  <c r="E6" i="1"/>
  <c r="F6" i="1" s="1"/>
  <c r="E7" i="1"/>
  <c r="F7" i="1" s="1"/>
  <c r="E8" i="1"/>
  <c r="F8" i="1" s="1"/>
  <c r="E9" i="1"/>
  <c r="F9" i="1" s="1"/>
  <c r="E4" i="1"/>
  <c r="F4" i="1" l="1"/>
</calcChain>
</file>

<file path=xl/sharedStrings.xml><?xml version="1.0" encoding="utf-8"?>
<sst xmlns="http://schemas.openxmlformats.org/spreadsheetml/2006/main" count="22" uniqueCount="21">
  <si>
    <t>U, В</t>
  </si>
  <si>
    <t>f, Гц</t>
  </si>
  <si>
    <t>C1, нФ</t>
  </si>
  <si>
    <t>f^2, МГц</t>
  </si>
  <si>
    <r>
      <t>C</t>
    </r>
    <r>
      <rPr>
        <vertAlign val="superscript"/>
        <sz val="10"/>
        <color theme="1"/>
        <rFont val="Calibri"/>
        <family val="2"/>
        <scheme val="minor"/>
      </rPr>
      <t>-1</t>
    </r>
  </si>
  <si>
    <t>с^(-1)^2</t>
  </si>
  <si>
    <t>a=</t>
  </si>
  <si>
    <t>x</t>
  </si>
  <si>
    <t>x^2</t>
  </si>
  <si>
    <t>y</t>
  </si>
  <si>
    <t>f^(2)*c^(-1)</t>
  </si>
  <si>
    <t>сумма x</t>
  </si>
  <si>
    <t>сумма y</t>
  </si>
  <si>
    <t>сумма x^2</t>
  </si>
  <si>
    <t>сумма xy</t>
  </si>
  <si>
    <t>n*сумма xy</t>
  </si>
  <si>
    <t>сумма x * сумма y</t>
  </si>
  <si>
    <t>b=</t>
  </si>
  <si>
    <t>xy</t>
  </si>
  <si>
    <t>МНК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</si>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</sst>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2"/>
      <color theme="1"/>
      <name val="Times New Roman"/>
      <family val="1"/>
      <charset val="204"/>
    </font>
    <font>
      <vertAlign val="superscript"/>
      <sz val="10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center" wrapText="1"/>
    </xf>
    <xf numFmtId="0" fontId="0" fillId="0" borderId="0" xfId="0" applyFill="1"/>
    <xf numFmtId="0" fontId="3" fillId="0" borderId="7" xfId="0" applyFont="1" applyFill="1" applyBorder="1" applyAlignment="1">
      <alignment horizontal="center" wrapText="1"/>
    </xf>
    <xf numFmtId="0" fontId="1" fillId="0" borderId="0" xfId="0" applyFont="1"/>
    <xf numFmtId="0" fontId="5" fillId="2" borderId="7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5" fillId="0" borderId="7" xfId="0" applyFont="1" applyBorder="1" applyAlignment="1">
      <alignment wrapText="1"/>
    </xf>
    <xf numFmtId="0" fontId="5" fillId="0" borderId="7" xfId="0" applyFont="1" applyBorder="1" applyAlignment="1">
      <alignment horizontal="right" wrapText="1"/>
    </xf>
    <xf numFmtId="11" fontId="3" fillId="0" borderId="7" xfId="0" applyNumberFormat="1" applyFont="1" applyBorder="1" applyAlignment="1">
      <alignment horizontal="center" wrapText="1"/>
    </xf>
    <xf numFmtId="0" fontId="2" fillId="0" borderId="7" xfId="0" applyFont="1" applyBorder="1" applyAlignment="1">
      <alignment horizontal="right"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2" fillId="0" borderId="0" xfId="0" applyFont="1" applyBorder="1" applyAlignment="1">
      <alignment horizontal="right" wrapText="1"/>
    </xf>
    <xf numFmtId="0" fontId="5" fillId="0" borderId="0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</a:t>
            </a:r>
            <a:r>
              <a:rPr lang="en-US"/>
              <a:t>U(f)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Экспериментальные точки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Лист1!$B$2:$B$23</c:f>
              <c:numCache>
                <c:formatCode>General</c:formatCode>
                <c:ptCount val="22"/>
                <c:pt idx="0">
                  <c:v>1091</c:v>
                </c:pt>
                <c:pt idx="1">
                  <c:v>1111</c:v>
                </c:pt>
                <c:pt idx="2">
                  <c:v>1131</c:v>
                </c:pt>
                <c:pt idx="3">
                  <c:v>1151</c:v>
                </c:pt>
                <c:pt idx="4">
                  <c:v>1171</c:v>
                </c:pt>
                <c:pt idx="5">
                  <c:v>1211</c:v>
                </c:pt>
                <c:pt idx="6">
                  <c:v>1241</c:v>
                </c:pt>
                <c:pt idx="7">
                  <c:v>1261</c:v>
                </c:pt>
                <c:pt idx="8">
                  <c:v>1281</c:v>
                </c:pt>
                <c:pt idx="9">
                  <c:v>1301</c:v>
                </c:pt>
                <c:pt idx="10">
                  <c:v>1321</c:v>
                </c:pt>
                <c:pt idx="11">
                  <c:v>1341</c:v>
                </c:pt>
                <c:pt idx="12">
                  <c:v>1371</c:v>
                </c:pt>
                <c:pt idx="13">
                  <c:v>1411</c:v>
                </c:pt>
                <c:pt idx="14">
                  <c:v>1451</c:v>
                </c:pt>
                <c:pt idx="15">
                  <c:v>1501</c:v>
                </c:pt>
                <c:pt idx="16">
                  <c:v>1551</c:v>
                </c:pt>
                <c:pt idx="17">
                  <c:v>1611</c:v>
                </c:pt>
                <c:pt idx="18">
                  <c:v>1681</c:v>
                </c:pt>
                <c:pt idx="19">
                  <c:v>1761</c:v>
                </c:pt>
                <c:pt idx="20">
                  <c:v>1871</c:v>
                </c:pt>
                <c:pt idx="21">
                  <c:v>2091</c:v>
                </c:pt>
              </c:numCache>
            </c:numRef>
          </c:xVal>
          <c:yVal>
            <c:numRef>
              <c:f>Лист1!$A$2:$A$23</c:f>
              <c:numCache>
                <c:formatCode>General</c:formatCode>
                <c:ptCount val="22"/>
                <c:pt idx="0">
                  <c:v>14</c:v>
                </c:pt>
                <c:pt idx="1">
                  <c:v>15.2</c:v>
                </c:pt>
                <c:pt idx="2">
                  <c:v>16.399999999999999</c:v>
                </c:pt>
                <c:pt idx="3">
                  <c:v>17.600000000000001</c:v>
                </c:pt>
                <c:pt idx="4">
                  <c:v>18</c:v>
                </c:pt>
                <c:pt idx="5">
                  <c:v>17.600000000000001</c:v>
                </c:pt>
                <c:pt idx="6">
                  <c:v>16.8</c:v>
                </c:pt>
                <c:pt idx="7">
                  <c:v>16.399999999999999</c:v>
                </c:pt>
                <c:pt idx="8">
                  <c:v>15.6</c:v>
                </c:pt>
                <c:pt idx="9">
                  <c:v>15.2</c:v>
                </c:pt>
                <c:pt idx="10">
                  <c:v>14</c:v>
                </c:pt>
                <c:pt idx="11">
                  <c:v>13.6</c:v>
                </c:pt>
                <c:pt idx="12">
                  <c:v>12.4</c:v>
                </c:pt>
                <c:pt idx="13">
                  <c:v>11.2</c:v>
                </c:pt>
                <c:pt idx="14">
                  <c:v>10</c:v>
                </c:pt>
                <c:pt idx="15">
                  <c:v>8.8000000000000007</c:v>
                </c:pt>
                <c:pt idx="16">
                  <c:v>7.6</c:v>
                </c:pt>
                <c:pt idx="17">
                  <c:v>6.6</c:v>
                </c:pt>
                <c:pt idx="18">
                  <c:v>5.8</c:v>
                </c:pt>
                <c:pt idx="19">
                  <c:v>4.8</c:v>
                </c:pt>
                <c:pt idx="20">
                  <c:v>3.6</c:v>
                </c:pt>
                <c:pt idx="21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8-4396-B662-830A8BDAB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284368"/>
        <c:axId val="1110294352"/>
      </c:scatterChart>
      <c:valAx>
        <c:axId val="1110284368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f,</a:t>
                </a:r>
                <a:r>
                  <a:rPr lang="en-US" baseline="0"/>
                  <a:t> </a:t>
                </a:r>
                <a:r>
                  <a:rPr lang="ru-RU" baseline="0"/>
                  <a:t>Гц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0294352"/>
        <c:crosses val="autoZero"/>
        <c:crossBetween val="midCat"/>
        <c:majorUnit val="150"/>
      </c:valAx>
      <c:valAx>
        <c:axId val="11102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028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</a:t>
            </a:r>
            <a:r>
              <a:rPr lang="el-GR" sz="1400" b="0" i="0" u="none" strike="noStrike" baseline="0"/>
              <a:t>Ω</a:t>
            </a:r>
            <a:r>
              <a:rPr lang="en-US" sz="1400" b="0" i="0" u="none" strike="noStrike" baseline="30000">
                <a:effectLst/>
              </a:rPr>
              <a:t>2</a:t>
            </a:r>
            <a:r>
              <a:rPr lang="en-US"/>
              <a:t>(</a:t>
            </a:r>
            <a:r>
              <a:rPr lang="en-US" sz="1400" b="0" i="0" u="none" strike="noStrike" baseline="0">
                <a:effectLst/>
              </a:rPr>
              <a:t>C</a:t>
            </a:r>
            <a:r>
              <a:rPr lang="en-US" sz="1400" b="0" i="0" u="none" strike="noStrike" baseline="30000">
                <a:effectLst/>
              </a:rPr>
              <a:t>-1</a:t>
            </a:r>
            <a:r>
              <a:rPr lang="en-US"/>
              <a:t>)</a:t>
            </a:r>
          </a:p>
        </c:rich>
      </c:tx>
      <c:layout>
        <c:manualLayout>
          <c:xMode val="edge"/>
          <c:yMode val="edge"/>
          <c:x val="0.39116640746500769"/>
          <c:y val="2.469145491530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Экспериментальные точки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Аппроксимирующая прямая y = 5,5951x + 0,0728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Лист1!$E$4:$E$9</c:f>
              <c:numCache>
                <c:formatCode>General</c:formatCode>
                <c:ptCount val="6"/>
                <c:pt idx="0">
                  <c:v>1</c:v>
                </c:pt>
                <c:pt idx="1">
                  <c:v>0.33333333333333331</c:v>
                </c:pt>
                <c:pt idx="2">
                  <c:v>0.1</c:v>
                </c:pt>
                <c:pt idx="3">
                  <c:v>3.3333333333333333E-2</c:v>
                </c:pt>
                <c:pt idx="4">
                  <c:v>0.01</c:v>
                </c:pt>
                <c:pt idx="5">
                  <c:v>3.3333333333333335E-3</c:v>
                </c:pt>
              </c:numCache>
            </c:numRef>
          </c:xVal>
          <c:yVal>
            <c:numRef>
              <c:f>Лист1!$G$4:$G$9</c:f>
              <c:numCache>
                <c:formatCode>General</c:formatCode>
                <c:ptCount val="6"/>
                <c:pt idx="0">
                  <c:v>5.5905387169530565</c:v>
                </c:pt>
                <c:pt idx="1">
                  <c:v>2.1618381480146129</c:v>
                </c:pt>
                <c:pt idx="2">
                  <c:v>0.68648625588041101</c:v>
                </c:pt>
                <c:pt idx="3">
                  <c:v>0.2070287697590108</c:v>
                </c:pt>
                <c:pt idx="4">
                  <c:v>5.4042005858604886E-2</c:v>
                </c:pt>
                <c:pt idx="5">
                  <c:v>1.7721861662596049E-2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81-4262-A08A-DD7ECDFAA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284368"/>
        <c:axId val="1110294352"/>
      </c:scatterChart>
      <c:valAx>
        <c:axId val="111028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  <a:r>
                  <a:rPr lang="en-US" sz="1000" b="0" i="0" u="none" strike="noStrike" baseline="30000">
                    <a:effectLst/>
                  </a:rPr>
                  <a:t>-1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нФ</a:t>
                </a:r>
                <a:r>
                  <a:rPr lang="en-US" baseline="30000"/>
                  <a:t>-1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0294352"/>
        <c:crosses val="autoZero"/>
        <c:crossBetween val="midCat"/>
      </c:valAx>
      <c:valAx>
        <c:axId val="11102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Ω</a:t>
                </a:r>
                <a:r>
                  <a:rPr lang="en-US" sz="1000" b="0" i="0" u="none" strike="noStrike" baseline="30000">
                    <a:effectLst/>
                  </a:rPr>
                  <a:t>2</a:t>
                </a:r>
                <a:r>
                  <a:rPr lang="en-US"/>
                  <a:t>, </a:t>
                </a:r>
                <a:r>
                  <a:rPr lang="ru-RU"/>
                  <a:t>МГц</a:t>
                </a:r>
                <a:r>
                  <a:rPr lang="ru-RU" sz="1000" b="0" i="0" u="none" strike="noStrike" baseline="30000">
                    <a:effectLst/>
                  </a:rPr>
                  <a:t>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028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92630509055727"/>
          <c:y val="0.44362726528251645"/>
          <c:w val="0.30060142948694396"/>
          <c:h val="0.21276185997288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130941</xdr:colOff>
      <xdr:row>0</xdr:row>
      <xdr:rowOff>150180</xdr:rowOff>
    </xdr:from>
    <xdr:to>
      <xdr:col>27</xdr:col>
      <xdr:colOff>53907</xdr:colOff>
      <xdr:row>16</xdr:row>
      <xdr:rowOff>60422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BFD2B8B-2975-445A-88C4-B93C9B352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4302</xdr:colOff>
      <xdr:row>17</xdr:row>
      <xdr:rowOff>15240</xdr:rowOff>
    </xdr:from>
    <xdr:to>
      <xdr:col>21</xdr:col>
      <xdr:colOff>32877</xdr:colOff>
      <xdr:row>33</xdr:row>
      <xdr:rowOff>63817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FF61332-CBA6-4380-B73F-545EB0E1D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topLeftCell="L20" zoomScale="120" zoomScaleNormal="120" workbookViewId="0">
      <selection activeCell="W27" sqref="W27"/>
    </sheetView>
  </sheetViews>
  <sheetFormatPr defaultRowHeight="14.4" x14ac:dyDescent="0.3"/>
  <cols>
    <col min="3" max="3" width="8.88671875" style="10"/>
    <col min="4" max="4" width="12.6640625" bestFit="1" customWidth="1"/>
    <col min="5" max="6" width="14.88671875" customWidth="1"/>
    <col min="7" max="7" width="12.6640625" bestFit="1" customWidth="1"/>
    <col min="8" max="9" width="11" customWidth="1"/>
    <col min="11" max="11" width="11.88671875" bestFit="1" customWidth="1"/>
    <col min="14" max="14" width="13.5546875" bestFit="1" customWidth="1"/>
  </cols>
  <sheetData>
    <row r="1" spans="1:12" ht="16.2" thickBot="1" x14ac:dyDescent="0.35">
      <c r="A1" s="1" t="s">
        <v>0</v>
      </c>
      <c r="B1" s="2" t="s">
        <v>1</v>
      </c>
      <c r="C1" s="8"/>
    </row>
    <row r="2" spans="1:12" ht="16.2" thickBot="1" x14ac:dyDescent="0.35">
      <c r="A2" s="3">
        <v>14</v>
      </c>
      <c r="B2" s="4">
        <v>1091</v>
      </c>
      <c r="C2" s="8"/>
      <c r="E2" s="14" t="s">
        <v>7</v>
      </c>
      <c r="F2" s="14" t="s">
        <v>8</v>
      </c>
      <c r="G2" s="15" t="s">
        <v>9</v>
      </c>
      <c r="H2" s="20" t="s">
        <v>18</v>
      </c>
      <c r="I2" s="20"/>
    </row>
    <row r="3" spans="1:12" ht="16.2" thickBot="1" x14ac:dyDescent="0.35">
      <c r="A3" s="3">
        <v>15.2</v>
      </c>
      <c r="B3" s="4">
        <v>1111</v>
      </c>
      <c r="C3" s="9"/>
      <c r="D3" s="7" t="s">
        <v>2</v>
      </c>
      <c r="E3" t="s">
        <v>4</v>
      </c>
      <c r="F3" t="s">
        <v>5</v>
      </c>
      <c r="G3" s="11" t="s">
        <v>3</v>
      </c>
      <c r="H3" s="16" t="s">
        <v>10</v>
      </c>
      <c r="I3" s="16"/>
      <c r="J3" s="7" t="s">
        <v>1</v>
      </c>
      <c r="K3" t="s">
        <v>19</v>
      </c>
    </row>
    <row r="4" spans="1:12" ht="16.2" thickBot="1" x14ac:dyDescent="0.35">
      <c r="A4" s="3">
        <v>16.399999999999999</v>
      </c>
      <c r="B4" s="4">
        <v>1131</v>
      </c>
      <c r="C4" s="9"/>
      <c r="D4" s="7">
        <v>1</v>
      </c>
      <c r="E4" s="11">
        <f>1/D4</f>
        <v>1</v>
      </c>
      <c r="F4" s="11">
        <f>E4*E4</f>
        <v>1</v>
      </c>
      <c r="G4" s="11">
        <f>I4*I4/1000000000</f>
        <v>5.5905387169530565</v>
      </c>
      <c r="H4" s="17">
        <v>141.61000000000001</v>
      </c>
      <c r="I4" s="17">
        <f>2*PI()*J4</f>
        <v>74769.905155437082</v>
      </c>
      <c r="J4" s="7">
        <v>11900</v>
      </c>
      <c r="K4" s="19">
        <f>L4/10^9</f>
        <v>5.5950507399999996</v>
      </c>
      <c r="L4" s="19">
        <v>5595050740</v>
      </c>
    </row>
    <row r="5" spans="1:12" ht="16.2" thickBot="1" x14ac:dyDescent="0.35">
      <c r="A5" s="3">
        <v>17.600000000000001</v>
      </c>
      <c r="B5" s="4">
        <v>1151</v>
      </c>
      <c r="C5" s="9"/>
      <c r="D5" s="7">
        <v>3</v>
      </c>
      <c r="E5" s="11">
        <f t="shared" ref="E5:E9" si="0">1/D5</f>
        <v>0.33333333333333331</v>
      </c>
      <c r="F5" s="11">
        <f t="shared" ref="F5:F9" si="1">E5*E5</f>
        <v>0.1111111111111111</v>
      </c>
      <c r="G5" s="11">
        <f t="shared" ref="G5:G9" si="2">I5*I5/1000000000</f>
        <v>2.1618381480146129</v>
      </c>
      <c r="H5" s="17">
        <v>18.253333319999999</v>
      </c>
      <c r="I5" s="17">
        <f t="shared" ref="I5:I9" si="3">2*PI()*J5</f>
        <v>46495.571273128939</v>
      </c>
      <c r="J5" s="7">
        <v>7400</v>
      </c>
      <c r="K5" s="19">
        <f t="shared" ref="K5:K9" si="4">L5/10^9</f>
        <v>1.8650169130000001</v>
      </c>
      <c r="L5" s="19">
        <v>1865016913</v>
      </c>
    </row>
    <row r="6" spans="1:12" ht="16.2" thickBot="1" x14ac:dyDescent="0.35">
      <c r="A6" s="3">
        <v>18</v>
      </c>
      <c r="B6" s="4">
        <v>1171</v>
      </c>
      <c r="C6" s="9"/>
      <c r="D6" s="7">
        <v>10</v>
      </c>
      <c r="E6" s="11">
        <f t="shared" si="0"/>
        <v>0.1</v>
      </c>
      <c r="F6" s="11">
        <f t="shared" si="1"/>
        <v>1.0000000000000002E-2</v>
      </c>
      <c r="G6" s="11">
        <f t="shared" si="2"/>
        <v>0.68648625588041101</v>
      </c>
      <c r="H6" s="17">
        <v>1.73889</v>
      </c>
      <c r="I6" s="17">
        <f t="shared" si="3"/>
        <v>26200.882730938876</v>
      </c>
      <c r="J6" s="7">
        <v>4170</v>
      </c>
      <c r="K6" s="19">
        <f t="shared" si="4"/>
        <v>0.55950507400000005</v>
      </c>
      <c r="L6" s="19">
        <v>559505074</v>
      </c>
    </row>
    <row r="7" spans="1:12" ht="16.2" thickBot="1" x14ac:dyDescent="0.35">
      <c r="A7" s="3">
        <v>17.600000000000001</v>
      </c>
      <c r="B7" s="4">
        <v>1211</v>
      </c>
      <c r="C7" s="9"/>
      <c r="D7" s="7">
        <v>30</v>
      </c>
      <c r="E7" s="11">
        <f t="shared" si="0"/>
        <v>3.3333333333333333E-2</v>
      </c>
      <c r="F7" s="11">
        <f t="shared" si="1"/>
        <v>1.1111111111111111E-3</v>
      </c>
      <c r="G7" s="11">
        <f t="shared" si="2"/>
        <v>0.2070287697590108</v>
      </c>
      <c r="H7" s="17">
        <v>0.1748033316</v>
      </c>
      <c r="I7" s="17">
        <f t="shared" si="3"/>
        <v>14388.494353441252</v>
      </c>
      <c r="J7" s="7">
        <v>2290</v>
      </c>
      <c r="K7" s="19">
        <f t="shared" si="4"/>
        <v>0.18650169130000002</v>
      </c>
      <c r="L7" s="19">
        <v>186501691.30000001</v>
      </c>
    </row>
    <row r="8" spans="1:12" ht="16.2" thickBot="1" x14ac:dyDescent="0.35">
      <c r="A8" s="3">
        <v>16.8</v>
      </c>
      <c r="B8" s="4">
        <v>1241</v>
      </c>
      <c r="C8" s="9"/>
      <c r="D8" s="7">
        <v>100</v>
      </c>
      <c r="E8" s="11">
        <f t="shared" si="0"/>
        <v>0.01</v>
      </c>
      <c r="F8" s="11">
        <f t="shared" si="1"/>
        <v>1E-4</v>
      </c>
      <c r="G8" s="11">
        <f t="shared" si="2"/>
        <v>5.4042005858604886E-2</v>
      </c>
      <c r="H8" s="17">
        <v>1.3689E-2</v>
      </c>
      <c r="I8" s="17">
        <f t="shared" si="3"/>
        <v>7351.326809400116</v>
      </c>
      <c r="J8" s="7">
        <v>1170</v>
      </c>
      <c r="K8" s="19">
        <f t="shared" si="4"/>
        <v>5.5950507400000002E-2</v>
      </c>
      <c r="L8" s="19">
        <v>55950507.399999999</v>
      </c>
    </row>
    <row r="9" spans="1:12" ht="16.2" thickBot="1" x14ac:dyDescent="0.35">
      <c r="A9" s="3">
        <v>16.399999999999999</v>
      </c>
      <c r="B9" s="4">
        <v>1261</v>
      </c>
      <c r="C9" s="9"/>
      <c r="D9" s="7">
        <v>300</v>
      </c>
      <c r="E9" s="11">
        <f t="shared" si="0"/>
        <v>3.3333333333333335E-3</v>
      </c>
      <c r="F9" s="11">
        <f t="shared" si="1"/>
        <v>1.1111111111111113E-5</v>
      </c>
      <c r="G9" s="11">
        <f t="shared" si="2"/>
        <v>1.7721861662596049E-2</v>
      </c>
      <c r="H9" s="17">
        <v>1.496333184E-3</v>
      </c>
      <c r="I9" s="17">
        <f t="shared" si="3"/>
        <v>4209.7341558103226</v>
      </c>
      <c r="J9" s="7">
        <v>670</v>
      </c>
      <c r="K9" s="19">
        <f t="shared" si="4"/>
        <v>1.8650169129999998E-2</v>
      </c>
      <c r="L9" s="19">
        <v>18650169.129999999</v>
      </c>
    </row>
    <row r="10" spans="1:12" ht="16.2" thickBot="1" x14ac:dyDescent="0.35">
      <c r="A10" s="3">
        <v>15.6</v>
      </c>
      <c r="B10" s="4">
        <v>1281</v>
      </c>
      <c r="C10" s="8"/>
      <c r="D10" s="14" t="s">
        <v>11</v>
      </c>
      <c r="E10" s="19">
        <v>1.4799999989999999</v>
      </c>
      <c r="F10" s="14" t="s">
        <v>12</v>
      </c>
      <c r="G10" s="19">
        <v>220.82079999999999</v>
      </c>
      <c r="H10" s="16"/>
      <c r="I10" s="21"/>
    </row>
    <row r="11" spans="1:12" ht="16.2" thickBot="1" x14ac:dyDescent="0.35">
      <c r="A11" s="3">
        <v>15.2</v>
      </c>
      <c r="B11" s="4">
        <v>1301</v>
      </c>
      <c r="C11" s="8"/>
      <c r="D11" s="16"/>
      <c r="E11" s="16" t="s">
        <v>13</v>
      </c>
      <c r="F11" s="17">
        <v>1.122333333</v>
      </c>
      <c r="G11" s="14" t="s">
        <v>14</v>
      </c>
      <c r="H11" s="19">
        <v>161.79221200000001</v>
      </c>
      <c r="I11" s="22"/>
    </row>
    <row r="12" spans="1:12" ht="16.2" thickBot="1" x14ac:dyDescent="0.35">
      <c r="A12" s="3">
        <v>14</v>
      </c>
      <c r="B12" s="4">
        <v>1321</v>
      </c>
      <c r="C12" s="8"/>
      <c r="D12" s="16"/>
      <c r="E12" s="16"/>
      <c r="F12" s="16"/>
      <c r="G12" s="16" t="s">
        <v>15</v>
      </c>
      <c r="H12" s="19">
        <v>970.75327189999996</v>
      </c>
      <c r="I12" s="22"/>
    </row>
    <row r="13" spans="1:12" ht="27.6" thickBot="1" x14ac:dyDescent="0.35">
      <c r="A13" s="3">
        <v>13.6</v>
      </c>
      <c r="B13" s="4">
        <v>1341</v>
      </c>
      <c r="C13" s="8"/>
      <c r="D13" s="16"/>
      <c r="E13" s="16"/>
      <c r="F13" s="16"/>
      <c r="G13" s="16" t="s">
        <v>16</v>
      </c>
      <c r="H13" s="19">
        <v>326.81478379999999</v>
      </c>
      <c r="I13" s="22"/>
    </row>
    <row r="14" spans="1:12" ht="16.2" thickBot="1" x14ac:dyDescent="0.35">
      <c r="A14" s="3">
        <v>12.4</v>
      </c>
      <c r="B14" s="4">
        <v>1371</v>
      </c>
      <c r="C14" s="8"/>
      <c r="D14" s="16"/>
      <c r="E14" s="16"/>
      <c r="F14" s="16"/>
      <c r="G14" s="16"/>
      <c r="H14" s="16"/>
      <c r="I14" s="21"/>
    </row>
    <row r="15" spans="1:12" ht="16.2" thickBot="1" x14ac:dyDescent="0.35">
      <c r="A15" s="3">
        <v>11.2</v>
      </c>
      <c r="B15" s="4">
        <v>1411</v>
      </c>
      <c r="C15" s="8"/>
      <c r="D15" s="16"/>
      <c r="E15" s="16"/>
      <c r="F15" s="16"/>
      <c r="G15" s="16" t="s">
        <v>6</v>
      </c>
      <c r="H15" s="19">
        <v>5.5951000000000004</v>
      </c>
      <c r="I15" s="22"/>
    </row>
    <row r="16" spans="1:12" ht="16.2" thickBot="1" x14ac:dyDescent="0.35">
      <c r="A16" s="3">
        <v>10</v>
      </c>
      <c r="B16" s="4">
        <v>1451</v>
      </c>
      <c r="C16" s="8"/>
      <c r="D16" s="16"/>
      <c r="E16" s="16"/>
      <c r="F16" s="16"/>
      <c r="G16" s="16" t="s">
        <v>17</v>
      </c>
      <c r="H16" s="17"/>
      <c r="I16" s="23"/>
    </row>
    <row r="17" spans="1:23" ht="16.2" thickBot="1" x14ac:dyDescent="0.35">
      <c r="A17" s="3">
        <v>8.8000000000000007</v>
      </c>
      <c r="B17" s="4">
        <v>1501</v>
      </c>
      <c r="C17" s="8"/>
    </row>
    <row r="18" spans="1:23" ht="16.2" thickBot="1" x14ac:dyDescent="0.35">
      <c r="A18" s="3">
        <v>7.6</v>
      </c>
      <c r="B18" s="4">
        <v>1551</v>
      </c>
      <c r="C18" s="8"/>
    </row>
    <row r="19" spans="1:23" ht="16.2" thickBot="1" x14ac:dyDescent="0.35">
      <c r="A19" s="3">
        <v>6.6</v>
      </c>
      <c r="B19" s="4">
        <v>1611</v>
      </c>
      <c r="C19" s="8"/>
      <c r="E19" s="12"/>
    </row>
    <row r="20" spans="1:23" ht="16.2" thickBot="1" x14ac:dyDescent="0.35">
      <c r="A20" s="3">
        <v>5.8</v>
      </c>
      <c r="B20" s="4">
        <v>1681</v>
      </c>
      <c r="C20" s="8"/>
      <c r="W20" t="s">
        <v>20</v>
      </c>
    </row>
    <row r="21" spans="1:23" ht="16.2" thickBot="1" x14ac:dyDescent="0.35">
      <c r="A21" s="3">
        <v>4.8</v>
      </c>
      <c r="B21" s="4">
        <v>1761</v>
      </c>
      <c r="C21" s="8"/>
    </row>
    <row r="22" spans="1:23" ht="16.2" thickBot="1" x14ac:dyDescent="0.35">
      <c r="A22" s="3">
        <v>3.6</v>
      </c>
      <c r="B22" s="4">
        <v>1871</v>
      </c>
      <c r="C22" s="8"/>
    </row>
    <row r="23" spans="1:23" ht="16.2" thickBot="1" x14ac:dyDescent="0.35">
      <c r="A23" s="5">
        <v>2.8</v>
      </c>
      <c r="B23" s="6">
        <v>2091</v>
      </c>
      <c r="C23" s="8"/>
    </row>
    <row r="25" spans="1:23" ht="15" thickBot="1" x14ac:dyDescent="0.35"/>
    <row r="26" spans="1:23" ht="16.2" thickBot="1" x14ac:dyDescent="0.35">
      <c r="A26" s="13"/>
      <c r="B26" s="14"/>
      <c r="C26" s="14"/>
      <c r="D26" s="15"/>
      <c r="E26" s="16"/>
      <c r="F26" s="13"/>
    </row>
    <row r="27" spans="1:23" ht="16.2" thickBot="1" x14ac:dyDescent="0.35">
      <c r="A27" s="7"/>
      <c r="B27" s="14"/>
      <c r="C27" s="14"/>
      <c r="D27" s="15"/>
      <c r="E27" s="16"/>
      <c r="F27" s="7"/>
    </row>
    <row r="28" spans="1:23" ht="16.2" thickBot="1" x14ac:dyDescent="0.35">
      <c r="A28" s="7"/>
      <c r="B28" s="15"/>
      <c r="C28" s="15"/>
      <c r="D28" s="15"/>
      <c r="E28" s="17"/>
      <c r="F28" s="7"/>
    </row>
    <row r="29" spans="1:23" ht="16.2" thickBot="1" x14ac:dyDescent="0.35">
      <c r="A29" s="7"/>
      <c r="B29" s="15"/>
      <c r="C29" s="15"/>
      <c r="D29" s="15"/>
      <c r="E29" s="17"/>
      <c r="F29" s="7"/>
    </row>
    <row r="30" spans="1:23" ht="16.2" thickBot="1" x14ac:dyDescent="0.35">
      <c r="A30" s="7"/>
      <c r="B30" s="15"/>
      <c r="C30" s="15"/>
      <c r="D30" s="15"/>
      <c r="E30" s="17"/>
      <c r="F30" s="7"/>
    </row>
    <row r="31" spans="1:23" ht="16.2" thickBot="1" x14ac:dyDescent="0.35">
      <c r="A31" s="7"/>
      <c r="B31" s="15"/>
      <c r="C31" s="15"/>
      <c r="D31" s="15"/>
      <c r="E31" s="17"/>
      <c r="F31" s="7"/>
    </row>
    <row r="32" spans="1:23" ht="16.2" thickBot="1" x14ac:dyDescent="0.35">
      <c r="A32" s="7"/>
      <c r="B32" s="15"/>
      <c r="C32" s="15"/>
      <c r="D32" s="15"/>
      <c r="E32" s="17"/>
      <c r="F32" s="7"/>
    </row>
    <row r="33" spans="1:6" ht="16.2" thickBot="1" x14ac:dyDescent="0.35">
      <c r="A33" s="7"/>
      <c r="B33" s="15"/>
      <c r="C33" s="18"/>
      <c r="D33" s="15"/>
      <c r="E33" s="17"/>
      <c r="F33" s="7"/>
    </row>
    <row r="34" spans="1:6" ht="15" thickBot="1" x14ac:dyDescent="0.35">
      <c r="F34" s="16"/>
    </row>
    <row r="35" spans="1:6" ht="15" thickBot="1" x14ac:dyDescent="0.35">
      <c r="F35" s="16"/>
    </row>
    <row r="36" spans="1:6" ht="15" thickBot="1" x14ac:dyDescent="0.35">
      <c r="F36" s="16"/>
    </row>
    <row r="37" spans="1:6" ht="15" thickBot="1" x14ac:dyDescent="0.35">
      <c r="F37" s="16"/>
    </row>
    <row r="38" spans="1:6" ht="15" thickBot="1" x14ac:dyDescent="0.35">
      <c r="F38" s="16"/>
    </row>
    <row r="39" spans="1:6" ht="15" thickBot="1" x14ac:dyDescent="0.35">
      <c r="F39" s="16"/>
    </row>
    <row r="40" spans="1:6" ht="15" thickBot="1" x14ac:dyDescent="0.35">
      <c r="F40" s="1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😑🤪Данил🤫🤨</dc:creator>
  <cp:lastModifiedBy>User</cp:lastModifiedBy>
  <dcterms:created xsi:type="dcterms:W3CDTF">2015-06-05T18:19:34Z</dcterms:created>
  <dcterms:modified xsi:type="dcterms:W3CDTF">2026-03-25T12:48:40Z</dcterms:modified>
</cp:coreProperties>
</file>