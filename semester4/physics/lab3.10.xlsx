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4D114B-C150-456F-8EE2-F2F21D9CC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2" i="1"/>
  <c r="C23" i="1"/>
  <c r="C24" i="1"/>
  <c r="C25" i="1"/>
  <c r="C22" i="1"/>
  <c r="B23" i="1"/>
  <c r="B24" i="1"/>
  <c r="B25" i="1"/>
  <c r="B22" i="1"/>
  <c r="D18" i="1"/>
  <c r="A18" i="1"/>
  <c r="C3" i="1"/>
  <c r="C18" i="1" s="1"/>
  <c r="C4" i="1"/>
  <c r="C5" i="1"/>
  <c r="C6" i="1"/>
  <c r="C7" i="1"/>
  <c r="C8" i="1"/>
  <c r="C9" i="1"/>
  <c r="C10" i="1"/>
  <c r="C11" i="1"/>
  <c r="C12" i="1"/>
  <c r="C2" i="1"/>
  <c r="B3" i="1"/>
  <c r="B4" i="1"/>
  <c r="B5" i="1"/>
  <c r="B6" i="1"/>
  <c r="B7" i="1"/>
  <c r="B8" i="1"/>
  <c r="B9" i="1"/>
  <c r="B10" i="1"/>
  <c r="B11" i="1"/>
  <c r="B12" i="1"/>
  <c r="B2" i="1"/>
  <c r="B18" i="1" l="1"/>
  <c r="D19" i="1" s="1"/>
  <c r="O34" i="1"/>
  <c r="P34" i="1"/>
  <c r="B19" i="1" l="1"/>
  <c r="Q2" i="1" l="1"/>
  <c r="E15" i="1"/>
  <c r="E2" i="1"/>
  <c r="E3" i="1"/>
  <c r="E4" i="1"/>
  <c r="E5" i="1"/>
  <c r="E6" i="1"/>
  <c r="E7" i="1"/>
  <c r="E8" i="1"/>
  <c r="E9" i="1"/>
  <c r="E10" i="1"/>
  <c r="E11" i="1"/>
  <c r="E12" i="1"/>
  <c r="E14" i="1"/>
  <c r="E13" i="1"/>
  <c r="F7" i="1"/>
  <c r="F16" i="1" s="1"/>
  <c r="F8" i="1"/>
  <c r="F9" i="1"/>
  <c r="F10" i="1"/>
  <c r="F2" i="1"/>
  <c r="F3" i="1"/>
  <c r="F4" i="1"/>
  <c r="F5" i="1"/>
  <c r="F6" i="1"/>
  <c r="G22" i="1" l="1"/>
  <c r="I27" i="1"/>
  <c r="I25" i="1"/>
  <c r="K23" i="1"/>
  <c r="K22" i="1"/>
  <c r="K25" i="1"/>
  <c r="I23" i="1"/>
  <c r="I24" i="1"/>
  <c r="K24" i="1"/>
  <c r="I22" i="1"/>
  <c r="G23" i="1"/>
  <c r="G25" i="1"/>
  <c r="G24" i="1"/>
  <c r="I29" i="1"/>
  <c r="I28" i="1"/>
</calcChain>
</file>

<file path=xl/sharedStrings.xml><?xml version="1.0" encoding="utf-8"?>
<sst xmlns="http://schemas.openxmlformats.org/spreadsheetml/2006/main" count="43" uniqueCount="42">
  <si>
    <t>Q</t>
  </si>
  <si>
    <t>Pi</t>
  </si>
  <si>
    <t xml:space="preserve">   </t>
  </si>
  <si>
    <t>e</t>
  </si>
  <si>
    <r>
      <t>T</t>
    </r>
    <r>
      <rPr>
        <b/>
        <sz val="10"/>
        <color theme="1"/>
        <rFont val="Calibri"/>
        <family val="2"/>
        <charset val="204"/>
        <scheme val="minor"/>
      </rPr>
      <t>теор, мс</t>
    </r>
  </si>
  <si>
    <r>
      <t>T</t>
    </r>
    <r>
      <rPr>
        <b/>
        <sz val="10"/>
        <color theme="1"/>
        <rFont val="Calibri"/>
        <family val="2"/>
        <charset val="204"/>
        <scheme val="minor"/>
      </rPr>
      <t>эксп, мс</t>
    </r>
  </si>
  <si>
    <t>T по Томпсона, мс</t>
  </si>
  <si>
    <r>
      <t>Т от R</t>
    </r>
    <r>
      <rPr>
        <b/>
        <sz val="9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, R</t>
    </r>
    <r>
      <rPr>
        <b/>
        <sz val="9"/>
        <color theme="1"/>
        <rFont val="Calibri"/>
        <family val="2"/>
        <charset val="204"/>
        <scheme val="minor"/>
      </rPr>
      <t>200</t>
    </r>
    <r>
      <rPr>
        <b/>
        <sz val="11"/>
        <color theme="1"/>
        <rFont val="Calibri"/>
        <family val="2"/>
        <charset val="204"/>
        <scheme val="minor"/>
      </rPr>
      <t xml:space="preserve"> и R</t>
    </r>
    <r>
      <rPr>
        <b/>
        <sz val="9"/>
        <color theme="1"/>
        <rFont val="Calibri"/>
        <family val="2"/>
        <charset val="204"/>
        <scheme val="minor"/>
      </rPr>
      <t>400, мс</t>
    </r>
  </si>
  <si>
    <t>R, Ом</t>
  </si>
  <si>
    <t>L, мГн</t>
  </si>
  <si>
    <r>
      <t>L</t>
    </r>
    <r>
      <rPr>
        <b/>
        <sz val="9"/>
        <color theme="1"/>
        <rFont val="Calibri"/>
        <family val="2"/>
        <charset val="204"/>
        <scheme val="minor"/>
      </rPr>
      <t>ср</t>
    </r>
    <r>
      <rPr>
        <b/>
        <sz val="11"/>
        <color theme="1"/>
        <rFont val="Calibri"/>
        <family val="2"/>
        <charset val="204"/>
        <scheme val="minor"/>
      </rPr>
      <t>(Гн) =</t>
    </r>
  </si>
  <si>
    <t>С, Ф</t>
  </si>
  <si>
    <t>Rm, Ом</t>
  </si>
  <si>
    <t>T, мкс</t>
  </si>
  <si>
    <t>2Ui</t>
  </si>
  <si>
    <t>2Ui+n</t>
  </si>
  <si>
    <t>n</t>
  </si>
  <si>
    <t>R1, Ом</t>
  </si>
  <si>
    <t>R2, Ом</t>
  </si>
  <si>
    <t>R3, Ом</t>
  </si>
  <si>
    <t>R4, Ом</t>
  </si>
  <si>
    <t>R5, кОм</t>
  </si>
  <si>
    <t>C1, мкФ</t>
  </si>
  <si>
    <t>C2, мкФ</t>
  </si>
  <si>
    <t>C3, мкФ</t>
  </si>
  <si>
    <t>C4, мкФ</t>
  </si>
  <si>
    <t>S, см^2</t>
  </si>
  <si>
    <t>L, см</t>
  </si>
  <si>
    <t>N1, витков</t>
  </si>
  <si>
    <t>N2, витков</t>
  </si>
  <si>
    <t>погрешность 10%</t>
  </si>
  <si>
    <t>δT, %</t>
  </si>
  <si>
    <t>Rкр, Ом</t>
  </si>
  <si>
    <t>R0</t>
  </si>
  <si>
    <t>R^2</t>
  </si>
  <si>
    <t>r lambda</t>
  </si>
  <si>
    <t>Lambda</t>
  </si>
  <si>
    <t>a=</t>
  </si>
  <si>
    <t>n=</t>
  </si>
  <si>
    <t>суммы:</t>
  </si>
  <si>
    <t>b=</t>
  </si>
  <si>
    <t>МНК прямая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</si>
</sst>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"/>
    <numFmt numFmtId="165" formatCode="0.00000"/>
    <numFmt numFmtId="166" formatCode="0.000000000000000"/>
    <numFmt numFmtId="167" formatCode="0.0000"/>
    <numFmt numFmtId="168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3" xfId="0" applyFont="1" applyFill="1" applyBorder="1"/>
    <xf numFmtId="0" fontId="2" fillId="4" borderId="2" xfId="0" applyFont="1" applyFill="1" applyBorder="1"/>
    <xf numFmtId="0" fontId="0" fillId="0" borderId="0" xfId="0" applyBorder="1"/>
    <xf numFmtId="0" fontId="2" fillId="5" borderId="1" xfId="0" applyFont="1" applyFill="1" applyBorder="1"/>
    <xf numFmtId="164" fontId="0" fillId="6" borderId="2" xfId="0" applyNumberFormat="1" applyFill="1" applyBorder="1"/>
    <xf numFmtId="0" fontId="2" fillId="2" borderId="1" xfId="0" applyFont="1" applyFill="1" applyBorder="1"/>
    <xf numFmtId="0" fontId="2" fillId="2" borderId="2" xfId="0" applyFont="1" applyFill="1" applyBorder="1"/>
    <xf numFmtId="166" fontId="0" fillId="3" borderId="1" xfId="0" applyNumberFormat="1" applyFill="1" applyBorder="1"/>
    <xf numFmtId="166" fontId="0" fillId="3" borderId="1" xfId="0" applyNumberFormat="1" applyFill="1" applyBorder="1" applyAlignment="1">
      <alignment horizontal="left"/>
    </xf>
    <xf numFmtId="0" fontId="2" fillId="2" borderId="3" xfId="0" applyFont="1" applyFill="1" applyBorder="1"/>
    <xf numFmtId="165" fontId="0" fillId="6" borderId="3" xfId="0" applyNumberFormat="1" applyFill="1" applyBorder="1"/>
    <xf numFmtId="0" fontId="6" fillId="2" borderId="3" xfId="0" applyFont="1" applyFill="1" applyBorder="1"/>
    <xf numFmtId="0" fontId="6" fillId="2" borderId="1" xfId="0" applyFont="1" applyFill="1" applyBorder="1"/>
    <xf numFmtId="0" fontId="6" fillId="2" borderId="2" xfId="0" applyFont="1" applyFill="1" applyBorder="1" applyAlignment="1">
      <alignment horizontal="right"/>
    </xf>
    <xf numFmtId="0" fontId="5" fillId="8" borderId="1" xfId="0" applyFont="1" applyFill="1" applyBorder="1"/>
    <xf numFmtId="0" fontId="5" fillId="7" borderId="1" xfId="0" applyFont="1" applyFill="1" applyBorder="1"/>
    <xf numFmtId="0" fontId="6" fillId="2" borderId="4" xfId="0" applyFont="1" applyFill="1" applyBorder="1"/>
    <xf numFmtId="0" fontId="7" fillId="9" borderId="5" xfId="0" applyFont="1" applyFill="1" applyBorder="1" applyAlignment="1">
      <alignment horizontal="center" wrapText="1"/>
    </xf>
    <xf numFmtId="0" fontId="1" fillId="10" borderId="6" xfId="0" applyFont="1" applyFill="1" applyBorder="1" applyAlignment="1">
      <alignment horizontal="right" wrapText="1"/>
    </xf>
    <xf numFmtId="0" fontId="7" fillId="9" borderId="7" xfId="0" applyFont="1" applyFill="1" applyBorder="1" applyAlignment="1">
      <alignment horizontal="center" wrapText="1"/>
    </xf>
    <xf numFmtId="0" fontId="1" fillId="10" borderId="8" xfId="0" applyFont="1" applyFill="1" applyBorder="1" applyAlignment="1">
      <alignment horizontal="right" wrapText="1"/>
    </xf>
    <xf numFmtId="0" fontId="1" fillId="9" borderId="9" xfId="0" applyFont="1" applyFill="1" applyBorder="1" applyAlignment="1">
      <alignment horizontal="right" wrapText="1"/>
    </xf>
    <xf numFmtId="0" fontId="7" fillId="9" borderId="10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right" wrapText="1"/>
    </xf>
    <xf numFmtId="0" fontId="7" fillId="9" borderId="12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right" wrapText="1"/>
    </xf>
    <xf numFmtId="0" fontId="1" fillId="9" borderId="8" xfId="0" applyFont="1" applyFill="1" applyBorder="1" applyAlignment="1">
      <alignment horizontal="right" wrapText="1"/>
    </xf>
    <xf numFmtId="0" fontId="7" fillId="9" borderId="13" xfId="0" applyFont="1" applyFill="1" applyBorder="1" applyAlignment="1">
      <alignment horizontal="center" wrapText="1"/>
    </xf>
    <xf numFmtId="0" fontId="7" fillId="9" borderId="14" xfId="0" applyFont="1" applyFill="1" applyBorder="1" applyAlignment="1">
      <alignment horizontal="center" wrapText="1"/>
    </xf>
    <xf numFmtId="0" fontId="1" fillId="9" borderId="15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165" fontId="0" fillId="0" borderId="0" xfId="0" applyNumberFormat="1"/>
    <xf numFmtId="167" fontId="0" fillId="0" borderId="0" xfId="0" applyNumberFormat="1"/>
    <xf numFmtId="0" fontId="2" fillId="5" borderId="3" xfId="0" applyFont="1" applyFill="1" applyBorder="1"/>
    <xf numFmtId="0" fontId="1" fillId="9" borderId="0" xfId="0" applyFont="1" applyFill="1" applyBorder="1" applyAlignment="1">
      <alignment horizontal="right" wrapText="1"/>
    </xf>
    <xf numFmtId="165" fontId="1" fillId="10" borderId="0" xfId="0" applyNumberFormat="1" applyFont="1" applyFill="1" applyBorder="1" applyAlignment="1">
      <alignment horizontal="right" wrapText="1"/>
    </xf>
    <xf numFmtId="168" fontId="5" fillId="6" borderId="1" xfId="0" applyNumberFormat="1" applyFont="1" applyFill="1" applyBorder="1"/>
    <xf numFmtId="0" fontId="1" fillId="11" borderId="9" xfId="0" applyFont="1" applyFill="1" applyBorder="1" applyAlignment="1">
      <alignment horizontal="right" wrapText="1"/>
    </xf>
    <xf numFmtId="0" fontId="1" fillId="11" borderId="6" xfId="0" applyFont="1" applyFill="1" applyBorder="1" applyAlignment="1">
      <alignment horizontal="right" wrapText="1"/>
    </xf>
    <xf numFmtId="0" fontId="1" fillId="11" borderId="11" xfId="0" applyFont="1" applyFill="1" applyBorder="1" applyAlignment="1">
      <alignment horizontal="right" wrapText="1"/>
    </xf>
    <xf numFmtId="0" fontId="1" fillId="11" borderId="8" xfId="0" applyFont="1" applyFill="1" applyBorder="1" applyAlignment="1">
      <alignment horizontal="right" wrapText="1"/>
    </xf>
    <xf numFmtId="0" fontId="1" fillId="11" borderId="8" xfId="0" applyFont="1" applyFill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5" fillId="7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ru-RU" sz="1400" b="0" i="0" u="none" strike="noStrike" baseline="0"/>
              <a:t>λ</a:t>
            </a:r>
            <a:r>
              <a:rPr lang="en-US" baseline="0"/>
              <a:t>(R</a:t>
            </a:r>
            <a:r>
              <a:rPr lang="en-US" baseline="-25000"/>
              <a:t>m</a:t>
            </a:r>
            <a:r>
              <a:rPr lang="en-US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389385718646209E-2"/>
          <c:y val="0.13820576930253387"/>
          <c:w val="0.6725137101298081"/>
          <c:h val="0.71397731089301042"/>
        </c:manualLayout>
      </c:layout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Лист1!$A$2:$A$15</c:f>
              <c:numCache>
                <c:formatCode>General</c:formatCode>
                <c:ptCount val="1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</c:numCache>
            </c:numRef>
          </c:xVal>
          <c:yVal>
            <c:numRef>
              <c:f>Лист1!$D$2:$D$15</c:f>
              <c:numCache>
                <c:formatCode>General</c:formatCode>
                <c:ptCount val="14"/>
                <c:pt idx="0">
                  <c:v>0.27</c:v>
                </c:pt>
                <c:pt idx="1">
                  <c:v>0.31</c:v>
                </c:pt>
                <c:pt idx="2">
                  <c:v>0.35</c:v>
                </c:pt>
                <c:pt idx="3">
                  <c:v>0.39</c:v>
                </c:pt>
                <c:pt idx="4">
                  <c:v>0.38</c:v>
                </c:pt>
                <c:pt idx="5">
                  <c:v>0.43</c:v>
                </c:pt>
                <c:pt idx="6">
                  <c:v>0.45</c:v>
                </c:pt>
                <c:pt idx="7">
                  <c:v>0.48</c:v>
                </c:pt>
                <c:pt idx="8">
                  <c:v>0.49</c:v>
                </c:pt>
                <c:pt idx="9">
                  <c:v>0.54</c:v>
                </c:pt>
                <c:pt idx="10">
                  <c:v>0.59</c:v>
                </c:pt>
                <c:pt idx="11">
                  <c:v>1.19</c:v>
                </c:pt>
                <c:pt idx="12">
                  <c:v>1.57</c:v>
                </c:pt>
                <c:pt idx="13">
                  <c:v>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F-43FF-ADCC-4578E7FD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72288"/>
        <c:axId val="165516776"/>
      </c:scatterChart>
      <c:scatterChart>
        <c:scatterStyle val="smoothMarker"/>
        <c:varyColors val="0"/>
        <c:ser>
          <c:idx val="1"/>
          <c:order val="1"/>
          <c:tx>
            <c:v>Аппроксимирующая прямая y=0,0029x+0,28045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Лист1!$E$2:$E$12</c:f>
              <c:numCache>
                <c:formatCode>0.00000</c:formatCode>
                <c:ptCount val="11"/>
                <c:pt idx="0">
                  <c:v>0.28045454545454568</c:v>
                </c:pt>
                <c:pt idx="1">
                  <c:v>0.30945454545454559</c:v>
                </c:pt>
                <c:pt idx="2">
                  <c:v>0.33845454545454556</c:v>
                </c:pt>
                <c:pt idx="3">
                  <c:v>0.36745454545454548</c:v>
                </c:pt>
                <c:pt idx="4">
                  <c:v>0.39645454545454539</c:v>
                </c:pt>
                <c:pt idx="5">
                  <c:v>0.42545454545454531</c:v>
                </c:pt>
                <c:pt idx="6">
                  <c:v>0.45445454545454528</c:v>
                </c:pt>
                <c:pt idx="7">
                  <c:v>0.48345454545454525</c:v>
                </c:pt>
                <c:pt idx="8">
                  <c:v>0.51245454545454516</c:v>
                </c:pt>
                <c:pt idx="9">
                  <c:v>0.54145454545454508</c:v>
                </c:pt>
                <c:pt idx="10">
                  <c:v>0.57045454545454499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EBC-4330-9F49-234F2C329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72288"/>
        <c:axId val="165516776"/>
      </c:scatterChart>
      <c:valAx>
        <c:axId val="1635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</a:t>
                </a:r>
                <a:r>
                  <a:rPr lang="en-US" sz="1000" b="0" i="0" u="none" strike="noStrike" baseline="-25000">
                    <a:effectLst/>
                  </a:rPr>
                  <a:t>m</a:t>
                </a:r>
                <a:r>
                  <a:rPr lang="ru-RU" sz="1000" b="0" i="0" u="none" strike="noStrike" baseline="0">
                    <a:effectLst/>
                  </a:rPr>
                  <a:t>, 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16776"/>
        <c:crosses val="autoZero"/>
        <c:crossBetween val="midCat"/>
      </c:valAx>
      <c:valAx>
        <c:axId val="16551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λ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3326856988635734E-2"/>
              <c:y val="0.47675690224785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572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69260162806872"/>
          <c:y val="0.32235977846006481"/>
          <c:w val="0.23749351254394505"/>
          <c:h val="0.41448744262417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/>
              <a:t>Графики зависимости периодов </a:t>
            </a:r>
            <a:r>
              <a:rPr lang="en-US" sz="1800" b="1" i="0" u="none" strike="noStrike" baseline="0"/>
              <a:t>T</a:t>
            </a:r>
            <a:r>
              <a:rPr lang="ru-RU" sz="1400" b="1" i="0" u="none" strike="noStrike" baseline="0"/>
              <a:t>эксп</a:t>
            </a:r>
            <a:r>
              <a:rPr lang="ru-RU" sz="1800" b="1" i="0" u="none" strike="noStrike" baseline="0"/>
              <a:t> и </a:t>
            </a:r>
            <a:r>
              <a:rPr lang="en-US" sz="1800" b="1" i="0" u="none" strike="noStrike" baseline="0"/>
              <a:t>T</a:t>
            </a:r>
            <a:r>
              <a:rPr lang="ru-RU" sz="1400" b="1" i="0" u="none" strike="noStrike" baseline="0"/>
              <a:t>теор</a:t>
            </a:r>
            <a:r>
              <a:rPr lang="ru-RU" sz="1800" b="1" i="0" u="none" strike="noStrike" baseline="0"/>
              <a:t> от ёмкости конденсатора</a:t>
            </a:r>
            <a:endParaRPr lang="ru-RU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9337238835119218E-2"/>
          <c:y val="9.500747006065878E-2"/>
          <c:w val="0.9498637816130393"/>
          <c:h val="0.77971693355585914"/>
        </c:manualLayout>
      </c:layout>
      <c:scatterChart>
        <c:scatterStyle val="smooth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Лист1!$A$22:$A$25</c:f>
              <c:numCache>
                <c:formatCode>General</c:formatCode>
                <c:ptCount val="4"/>
                <c:pt idx="0">
                  <c:v>2.1999999999999998E-8</c:v>
                </c:pt>
                <c:pt idx="1">
                  <c:v>3.2999999999999998E-8</c:v>
                </c:pt>
                <c:pt idx="2">
                  <c:v>4.6999999999999997E-8</c:v>
                </c:pt>
                <c:pt idx="3">
                  <c:v>4.7E-7</c:v>
                </c:pt>
              </c:numCache>
            </c:numRef>
          </c:xVal>
          <c:yVal>
            <c:numRef>
              <c:f>Лист1!$D$22:$D$25</c:f>
              <c:numCache>
                <c:formatCode>General</c:formatCode>
                <c:ptCount val="4"/>
                <c:pt idx="0">
                  <c:v>9.1999999999999998E-2</c:v>
                </c:pt>
                <c:pt idx="1">
                  <c:v>0.112</c:v>
                </c:pt>
                <c:pt idx="2">
                  <c:v>0.13400000000000001</c:v>
                </c:pt>
                <c:pt idx="3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03-483B-ABDC-47C70C489E3D}"/>
            </c:ext>
          </c:extLst>
        </c:ser>
        <c:ser>
          <c:idx val="1"/>
          <c:order val="1"/>
          <c:tx>
            <c:v>Теоритический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Лист1!$A$22:$A$25</c:f>
              <c:numCache>
                <c:formatCode>General</c:formatCode>
                <c:ptCount val="4"/>
                <c:pt idx="0">
                  <c:v>2.1999999999999998E-8</c:v>
                </c:pt>
                <c:pt idx="1">
                  <c:v>3.2999999999999998E-8</c:v>
                </c:pt>
                <c:pt idx="2">
                  <c:v>4.6999999999999997E-8</c:v>
                </c:pt>
                <c:pt idx="3">
                  <c:v>4.7E-7</c:v>
                </c:pt>
              </c:numCache>
            </c:numRef>
          </c:xVal>
          <c:yVal>
            <c:numRef>
              <c:f>Лист1!$F$22:$F$25</c:f>
              <c:numCache>
                <c:formatCode>General</c:formatCode>
                <c:ptCount val="4"/>
                <c:pt idx="0">
                  <c:v>0.14963000000000001</c:v>
                </c:pt>
                <c:pt idx="1">
                  <c:v>0.18326000000000001</c:v>
                </c:pt>
                <c:pt idx="2">
                  <c:v>0.21870000000000001</c:v>
                </c:pt>
                <c:pt idx="3">
                  <c:v>0.69159999999999999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03-483B-ABDC-47C70C48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875776"/>
        <c:axId val="424876160"/>
      </c:scatterChart>
      <c:valAx>
        <c:axId val="42487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876160"/>
        <c:crosses val="autoZero"/>
        <c:crossBetween val="midCat"/>
      </c:valAx>
      <c:valAx>
        <c:axId val="4248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875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sz="1400" b="0" i="0" u="none" strike="noStrike" baseline="0"/>
              <a:t>Q</a:t>
            </a:r>
            <a:r>
              <a:rPr lang="en-US" baseline="0"/>
              <a:t>(R)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8384206778249782E-2"/>
          <c:y val="0.14191719660462085"/>
          <c:w val="0.67371291680210965"/>
          <c:h val="0.7115343803673555"/>
        </c:manualLayout>
      </c:layout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Лист1!$I$2:$I$15</c:f>
              <c:numCache>
                <c:formatCode>General</c:formatCode>
                <c:ptCount val="14"/>
                <c:pt idx="0">
                  <c:v>96.71</c:v>
                </c:pt>
                <c:pt idx="1">
                  <c:v>106.71</c:v>
                </c:pt>
                <c:pt idx="2">
                  <c:v>116.71</c:v>
                </c:pt>
                <c:pt idx="3">
                  <c:v>126.71</c:v>
                </c:pt>
                <c:pt idx="4">
                  <c:v>136.71</c:v>
                </c:pt>
                <c:pt idx="5">
                  <c:v>146.71</c:v>
                </c:pt>
                <c:pt idx="6">
                  <c:v>156.71</c:v>
                </c:pt>
                <c:pt idx="7">
                  <c:v>166.71</c:v>
                </c:pt>
                <c:pt idx="8">
                  <c:v>176.71</c:v>
                </c:pt>
                <c:pt idx="9">
                  <c:v>186.71</c:v>
                </c:pt>
                <c:pt idx="10">
                  <c:v>196.71</c:v>
                </c:pt>
                <c:pt idx="11">
                  <c:v>296.70999999999998</c:v>
                </c:pt>
                <c:pt idx="12">
                  <c:v>396.71</c:v>
                </c:pt>
                <c:pt idx="13">
                  <c:v>496.71</c:v>
                </c:pt>
              </c:numCache>
            </c:numRef>
          </c:xVal>
          <c:yVal>
            <c:numRef>
              <c:f>Лист1!$G$2:$G$15</c:f>
              <c:numCache>
                <c:formatCode>General</c:formatCode>
                <c:ptCount val="14"/>
                <c:pt idx="0">
                  <c:v>14.87</c:v>
                </c:pt>
                <c:pt idx="1">
                  <c:v>13.75</c:v>
                </c:pt>
                <c:pt idx="2">
                  <c:v>12.48</c:v>
                </c:pt>
                <c:pt idx="3">
                  <c:v>11.6</c:v>
                </c:pt>
                <c:pt idx="4">
                  <c:v>11.73</c:v>
                </c:pt>
                <c:pt idx="5">
                  <c:v>10.94</c:v>
                </c:pt>
                <c:pt idx="6">
                  <c:v>10.54</c:v>
                </c:pt>
                <c:pt idx="7">
                  <c:v>10.210000000000001</c:v>
                </c:pt>
                <c:pt idx="8">
                  <c:v>10.050000000000001</c:v>
                </c:pt>
                <c:pt idx="9">
                  <c:v>9.4700000000000006</c:v>
                </c:pt>
                <c:pt idx="10">
                  <c:v>9.0299999999999994</c:v>
                </c:pt>
                <c:pt idx="11">
                  <c:v>6.92</c:v>
                </c:pt>
                <c:pt idx="12">
                  <c:v>6.57</c:v>
                </c:pt>
                <c:pt idx="13">
                  <c:v>6.37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0-42CB-898B-F39E0E83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72288"/>
        <c:axId val="165516776"/>
      </c:scatterChart>
      <c:valAx>
        <c:axId val="1635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</a:t>
                </a:r>
                <a:r>
                  <a:rPr lang="ru-RU" sz="1000" b="0" i="0" u="none" strike="noStrike" baseline="0">
                    <a:effectLst/>
                  </a:rPr>
                  <a:t>, 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16776"/>
        <c:crosses val="autoZero"/>
        <c:crossBetween val="midCat"/>
      </c:valAx>
      <c:valAx>
        <c:axId val="16551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Q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3326856988635734E-2"/>
              <c:y val="0.47675690224785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572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90030042401235"/>
          <c:y val="0.32235966359689983"/>
          <c:w val="0.21184863579033042"/>
          <c:h val="0.22200633714102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sz="1400" b="0" i="0" u="none" strike="noStrike" baseline="0"/>
              <a:t>T</a:t>
            </a:r>
            <a:r>
              <a:rPr lang="en-US" baseline="0"/>
              <a:t>(C)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183305562774962"/>
          <c:y val="0.13678401868406342"/>
          <c:w val="0.68312591964610059"/>
          <c:h val="0.71198047758864003"/>
        </c:manualLayout>
      </c:layout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Лист1!$B$22:$B$25</c:f>
              <c:numCache>
                <c:formatCode>General</c:formatCode>
                <c:ptCount val="4"/>
                <c:pt idx="0">
                  <c:v>2.1999999999999999E-2</c:v>
                </c:pt>
                <c:pt idx="1">
                  <c:v>3.2999999999999995E-2</c:v>
                </c:pt>
                <c:pt idx="2">
                  <c:v>4.7E-2</c:v>
                </c:pt>
                <c:pt idx="3">
                  <c:v>0.47</c:v>
                </c:pt>
              </c:numCache>
            </c:numRef>
          </c:xVal>
          <c:yVal>
            <c:numRef>
              <c:f>Лист1!$C$22:$C$25</c:f>
              <c:numCache>
                <c:formatCode>General</c:formatCode>
                <c:ptCount val="4"/>
                <c:pt idx="0">
                  <c:v>92</c:v>
                </c:pt>
                <c:pt idx="1">
                  <c:v>112</c:v>
                </c:pt>
                <c:pt idx="2">
                  <c:v>134</c:v>
                </c:pt>
                <c:pt idx="3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2-4684-8E40-6452E7E1D68E}"/>
            </c:ext>
          </c:extLst>
        </c:ser>
        <c:ser>
          <c:idx val="1"/>
          <c:order val="1"/>
          <c:tx>
            <c:v>Теоретическая зависимость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Лист1!$B$22:$B$25</c:f>
              <c:numCache>
                <c:formatCode>General</c:formatCode>
                <c:ptCount val="4"/>
                <c:pt idx="0">
                  <c:v>2.1999999999999999E-2</c:v>
                </c:pt>
                <c:pt idx="1">
                  <c:v>3.2999999999999995E-2</c:v>
                </c:pt>
                <c:pt idx="2">
                  <c:v>4.7E-2</c:v>
                </c:pt>
                <c:pt idx="3">
                  <c:v>0.47</c:v>
                </c:pt>
              </c:numCache>
            </c:numRef>
          </c:xVal>
          <c:yVal>
            <c:numRef>
              <c:f>Лист1!$E$22:$E$25</c:f>
              <c:numCache>
                <c:formatCode>General</c:formatCode>
                <c:ptCount val="4"/>
                <c:pt idx="0">
                  <c:v>149.63000000000002</c:v>
                </c:pt>
                <c:pt idx="1">
                  <c:v>183.26000000000002</c:v>
                </c:pt>
                <c:pt idx="2">
                  <c:v>218.70000000000002</c:v>
                </c:pt>
                <c:pt idx="3">
                  <c:v>691.6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D2-4684-8E40-6452E7E1D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72288"/>
        <c:axId val="165516776"/>
      </c:scatterChart>
      <c:valAx>
        <c:axId val="1635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</a:t>
                </a:r>
                <a:r>
                  <a:rPr lang="ru-RU" sz="1000" b="0" i="0" u="none" strike="noStrike" baseline="0">
                    <a:effectLst/>
                  </a:rPr>
                  <a:t>, мкФ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16776"/>
        <c:crosses val="autoZero"/>
        <c:crossBetween val="midCat"/>
      </c:valAx>
      <c:valAx>
        <c:axId val="16551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T, </a:t>
                </a:r>
                <a:r>
                  <a:rPr lang="ru-RU" sz="1000" b="0" i="0" u="none" strike="noStrike" baseline="0">
                    <a:effectLst/>
                  </a:rPr>
                  <a:t>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3326856988635734E-2"/>
              <c:y val="0.47675690224785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572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8455847628172"/>
          <c:y val="0.32235977846006481"/>
          <c:w val="0.19738713251633394"/>
          <c:h val="0.29215645182082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4232</xdr:colOff>
      <xdr:row>0</xdr:row>
      <xdr:rowOff>0</xdr:rowOff>
    </xdr:from>
    <xdr:to>
      <xdr:col>37</xdr:col>
      <xdr:colOff>8466</xdr:colOff>
      <xdr:row>13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114301</xdr:colOff>
      <xdr:row>41</xdr:row>
      <xdr:rowOff>38021</xdr:rowOff>
    </xdr:from>
    <xdr:to>
      <xdr:col>37</xdr:col>
      <xdr:colOff>114301</xdr:colOff>
      <xdr:row>61</xdr:row>
      <xdr:rowOff>47063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9388</xdr:colOff>
      <xdr:row>3</xdr:row>
      <xdr:rowOff>7045</xdr:rowOff>
    </xdr:from>
    <xdr:to>
      <xdr:col>19</xdr:col>
      <xdr:colOff>0</xdr:colOff>
      <xdr:row>15</xdr:row>
      <xdr:rowOff>182032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E9A8305-955A-4CCD-A4DD-8EA3EF053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10651</xdr:colOff>
      <xdr:row>16</xdr:row>
      <xdr:rowOff>177252</xdr:rowOff>
    </xdr:from>
    <xdr:to>
      <xdr:col>19</xdr:col>
      <xdr:colOff>10886</xdr:colOff>
      <xdr:row>31</xdr:row>
      <xdr:rowOff>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BBA8198-7C96-449E-BE20-5BCF6E575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T1" zoomScaleNormal="100" workbookViewId="0">
      <selection activeCell="V14" sqref="V14"/>
    </sheetView>
  </sheetViews>
  <sheetFormatPr defaultRowHeight="14.4" x14ac:dyDescent="0.3"/>
  <cols>
    <col min="1" max="3" width="21.44140625" customWidth="1"/>
    <col min="4" max="5" width="21.5546875" customWidth="1"/>
    <col min="6" max="6" width="26.44140625" customWidth="1"/>
    <col min="7" max="7" width="12.33203125" bestFit="1" customWidth="1"/>
    <col min="8" max="8" width="12.33203125" customWidth="1"/>
    <col min="9" max="9" width="21.44140625" customWidth="1"/>
    <col min="12" max="12" width="12.5546875" customWidth="1"/>
    <col min="13" max="14" width="10.6640625" customWidth="1"/>
    <col min="15" max="15" width="7.109375" customWidth="1"/>
    <col min="17" max="17" width="9.5546875" bestFit="1" customWidth="1"/>
    <col min="18" max="18" width="10.77734375" customWidth="1"/>
  </cols>
  <sheetData>
    <row r="1" spans="1:19" ht="15" thickBot="1" x14ac:dyDescent="0.35">
      <c r="A1" s="9" t="s">
        <v>12</v>
      </c>
      <c r="B1" s="9" t="s">
        <v>34</v>
      </c>
      <c r="C1" s="9" t="s">
        <v>35</v>
      </c>
      <c r="D1" s="7" t="s">
        <v>36</v>
      </c>
      <c r="E1" s="7" t="s">
        <v>41</v>
      </c>
      <c r="F1" s="2" t="s">
        <v>9</v>
      </c>
      <c r="G1" s="2" t="s">
        <v>0</v>
      </c>
      <c r="H1" s="2"/>
      <c r="I1" s="2" t="s">
        <v>8</v>
      </c>
      <c r="J1" s="10" t="s">
        <v>3</v>
      </c>
      <c r="K1" s="13" t="s">
        <v>1</v>
      </c>
      <c r="L1" s="15" t="s">
        <v>13</v>
      </c>
      <c r="M1" s="16" t="s">
        <v>14</v>
      </c>
      <c r="N1" s="16" t="s">
        <v>15</v>
      </c>
      <c r="O1" s="17" t="s">
        <v>16</v>
      </c>
      <c r="Q1" s="20" t="s">
        <v>33</v>
      </c>
    </row>
    <row r="2" spans="1:19" ht="16.2" thickBot="1" x14ac:dyDescent="0.35">
      <c r="A2" s="21">
        <v>0</v>
      </c>
      <c r="B2" s="31">
        <f>A2*A2</f>
        <v>0</v>
      </c>
      <c r="C2" s="31">
        <f>A2*D2</f>
        <v>0</v>
      </c>
      <c r="D2" s="22">
        <v>0.27</v>
      </c>
      <c r="E2" s="39">
        <f>$B$19*A2+$D$19</f>
        <v>0.28045454545454568</v>
      </c>
      <c r="F2" s="11">
        <f t="shared" ref="F2:F10" si="0">1000*($K$2*$K$2*$I2*$I2*$A$22)/($D2*$D2)</f>
        <v>27.857165913986748</v>
      </c>
      <c r="G2" s="41">
        <v>14.87</v>
      </c>
      <c r="H2" s="42">
        <v>11.19</v>
      </c>
      <c r="I2" s="42">
        <v>96.71</v>
      </c>
      <c r="J2" s="8">
        <v>2.71828</v>
      </c>
      <c r="K2" s="14">
        <v>3.1415899999999999</v>
      </c>
      <c r="L2" s="25">
        <v>93.75</v>
      </c>
      <c r="M2" s="26">
        <v>6</v>
      </c>
      <c r="N2" s="26">
        <v>2</v>
      </c>
      <c r="O2" s="26">
        <v>4</v>
      </c>
      <c r="Q2" s="40">
        <f>D19/B19</f>
        <v>96.708463949843562</v>
      </c>
      <c r="S2" s="28">
        <v>375</v>
      </c>
    </row>
    <row r="3" spans="1:19" ht="16.2" thickBot="1" x14ac:dyDescent="0.35">
      <c r="A3" s="23">
        <v>10</v>
      </c>
      <c r="B3" s="31">
        <f t="shared" ref="B3:B12" si="1">A3*A3</f>
        <v>100</v>
      </c>
      <c r="C3" s="31">
        <f t="shared" ref="C3:C12" si="2">A3*D3</f>
        <v>3.1</v>
      </c>
      <c r="D3" s="24">
        <v>0.31</v>
      </c>
      <c r="E3" s="39">
        <f t="shared" ref="E3:E15" si="3">$B$19*A3+$D$19</f>
        <v>0.30945454545454559</v>
      </c>
      <c r="F3" s="11">
        <f t="shared" si="0"/>
        <v>25.728149146437623</v>
      </c>
      <c r="G3" s="43">
        <v>13.75</v>
      </c>
      <c r="H3" s="44">
        <v>10.14</v>
      </c>
      <c r="I3" s="44">
        <v>106.71</v>
      </c>
      <c r="L3" s="27">
        <v>93.33</v>
      </c>
      <c r="M3" s="28">
        <v>6</v>
      </c>
      <c r="N3" s="28">
        <v>2.4</v>
      </c>
      <c r="O3" s="28">
        <v>3</v>
      </c>
      <c r="S3" s="28">
        <v>280</v>
      </c>
    </row>
    <row r="4" spans="1:19" ht="16.2" thickBot="1" x14ac:dyDescent="0.35">
      <c r="A4" s="23">
        <v>20</v>
      </c>
      <c r="B4" s="31">
        <f t="shared" si="1"/>
        <v>400</v>
      </c>
      <c r="C4" s="31">
        <f t="shared" si="2"/>
        <v>7</v>
      </c>
      <c r="D4" s="24">
        <v>0.35</v>
      </c>
      <c r="E4" s="39">
        <f t="shared" si="3"/>
        <v>0.33845454545454556</v>
      </c>
      <c r="F4" s="11">
        <f t="shared" si="0"/>
        <v>24.143584137300564</v>
      </c>
      <c r="G4" s="43">
        <v>12.48</v>
      </c>
      <c r="H4" s="45"/>
      <c r="I4" s="44">
        <v>116.71</v>
      </c>
      <c r="L4" s="27">
        <v>93.33</v>
      </c>
      <c r="M4" s="28">
        <v>6</v>
      </c>
      <c r="N4" s="28">
        <v>2.1</v>
      </c>
      <c r="O4" s="28">
        <v>3</v>
      </c>
      <c r="S4" s="28">
        <v>280</v>
      </c>
    </row>
    <row r="5" spans="1:19" ht="16.2" thickBot="1" x14ac:dyDescent="0.35">
      <c r="A5" s="23">
        <v>30</v>
      </c>
      <c r="B5" s="31">
        <f t="shared" si="1"/>
        <v>900</v>
      </c>
      <c r="C5" s="31">
        <f t="shared" si="2"/>
        <v>11.700000000000001</v>
      </c>
      <c r="D5" s="24">
        <v>0.39</v>
      </c>
      <c r="E5" s="39">
        <f t="shared" si="3"/>
        <v>0.36745454545454548</v>
      </c>
      <c r="F5" s="11">
        <f t="shared" si="0"/>
        <v>22.919981371923868</v>
      </c>
      <c r="G5" s="43">
        <v>11.6</v>
      </c>
      <c r="H5" s="45"/>
      <c r="I5" s="44">
        <v>126.71</v>
      </c>
      <c r="L5" s="27">
        <v>93.33</v>
      </c>
      <c r="M5" s="28">
        <v>5.8</v>
      </c>
      <c r="N5" s="28">
        <v>1.8</v>
      </c>
      <c r="O5" s="28">
        <v>3</v>
      </c>
      <c r="S5" s="28">
        <v>280</v>
      </c>
    </row>
    <row r="6" spans="1:19" ht="16.2" thickBot="1" x14ac:dyDescent="0.35">
      <c r="A6" s="23">
        <v>40</v>
      </c>
      <c r="B6" s="31">
        <f t="shared" si="1"/>
        <v>1600</v>
      </c>
      <c r="C6" s="31">
        <f t="shared" si="2"/>
        <v>15.2</v>
      </c>
      <c r="D6" s="24">
        <v>0.38</v>
      </c>
      <c r="E6" s="39">
        <f t="shared" si="3"/>
        <v>0.39645454545454539</v>
      </c>
      <c r="F6" s="11">
        <f t="shared" si="0"/>
        <v>28.10315417260086</v>
      </c>
      <c r="G6" s="43">
        <v>11.73</v>
      </c>
      <c r="H6" s="45"/>
      <c r="I6" s="44">
        <v>136.71</v>
      </c>
      <c r="L6" s="27">
        <v>95</v>
      </c>
      <c r="M6" s="28">
        <v>5.6</v>
      </c>
      <c r="N6" s="28">
        <v>2.6</v>
      </c>
      <c r="O6" s="28">
        <v>2</v>
      </c>
      <c r="S6" s="28">
        <v>190</v>
      </c>
    </row>
    <row r="7" spans="1:19" ht="16.2" thickBot="1" x14ac:dyDescent="0.35">
      <c r="A7" s="23">
        <v>50</v>
      </c>
      <c r="B7" s="31">
        <f t="shared" si="1"/>
        <v>2500</v>
      </c>
      <c r="C7" s="31">
        <f t="shared" si="2"/>
        <v>21.5</v>
      </c>
      <c r="D7" s="24">
        <v>0.43</v>
      </c>
      <c r="E7" s="39">
        <f t="shared" si="3"/>
        <v>0.42545454545454531</v>
      </c>
      <c r="F7" s="11">
        <f t="shared" si="0"/>
        <v>25.27575956939506</v>
      </c>
      <c r="G7" s="43">
        <v>10.94</v>
      </c>
      <c r="H7" s="45"/>
      <c r="I7" s="44">
        <v>146.71</v>
      </c>
      <c r="L7" s="27">
        <v>95</v>
      </c>
      <c r="M7" s="28">
        <v>5.4</v>
      </c>
      <c r="N7" s="28">
        <v>2.2999999999999998</v>
      </c>
      <c r="O7" s="28">
        <v>2</v>
      </c>
      <c r="S7" s="28">
        <v>190</v>
      </c>
    </row>
    <row r="8" spans="1:19" ht="16.2" thickBot="1" x14ac:dyDescent="0.35">
      <c r="A8" s="23">
        <v>60</v>
      </c>
      <c r="B8" s="31">
        <f t="shared" si="1"/>
        <v>3600</v>
      </c>
      <c r="C8" s="31">
        <f t="shared" si="2"/>
        <v>27</v>
      </c>
      <c r="D8" s="24">
        <v>0.45</v>
      </c>
      <c r="E8" s="39">
        <f t="shared" si="3"/>
        <v>0.45445454545454528</v>
      </c>
      <c r="F8" s="11">
        <f t="shared" si="0"/>
        <v>26.332378332061079</v>
      </c>
      <c r="G8" s="43">
        <v>10.54</v>
      </c>
      <c r="H8" s="45"/>
      <c r="I8" s="44">
        <v>156.71</v>
      </c>
      <c r="L8" s="27">
        <v>95</v>
      </c>
      <c r="M8" s="28">
        <v>5.2</v>
      </c>
      <c r="N8" s="28">
        <v>2.1</v>
      </c>
      <c r="O8" s="28">
        <v>2</v>
      </c>
      <c r="S8" s="28">
        <v>190</v>
      </c>
    </row>
    <row r="9" spans="1:19" ht="16.2" thickBot="1" x14ac:dyDescent="0.35">
      <c r="A9" s="23">
        <v>70</v>
      </c>
      <c r="B9" s="31">
        <f t="shared" si="1"/>
        <v>4900</v>
      </c>
      <c r="C9" s="31">
        <f t="shared" si="2"/>
        <v>33.6</v>
      </c>
      <c r="D9" s="24">
        <v>0.48</v>
      </c>
      <c r="E9" s="39">
        <f t="shared" si="3"/>
        <v>0.48345454545454525</v>
      </c>
      <c r="F9" s="11">
        <f t="shared" si="0"/>
        <v>26.191629627201522</v>
      </c>
      <c r="G9" s="43">
        <v>10.210000000000001</v>
      </c>
      <c r="H9" s="45"/>
      <c r="I9" s="44">
        <v>166.71</v>
      </c>
      <c r="L9" s="27">
        <v>100</v>
      </c>
      <c r="M9" s="28">
        <v>5</v>
      </c>
      <c r="N9" s="28">
        <v>3.1</v>
      </c>
      <c r="O9" s="28">
        <v>1</v>
      </c>
      <c r="S9" s="28">
        <v>100</v>
      </c>
    </row>
    <row r="10" spans="1:19" ht="16.2" thickBot="1" x14ac:dyDescent="0.35">
      <c r="A10" s="23">
        <v>80</v>
      </c>
      <c r="B10" s="31">
        <f t="shared" si="1"/>
        <v>6400</v>
      </c>
      <c r="C10" s="31">
        <f t="shared" si="2"/>
        <v>39.200000000000003</v>
      </c>
      <c r="D10" s="24">
        <v>0.49</v>
      </c>
      <c r="E10" s="39">
        <f t="shared" si="3"/>
        <v>0.51245454545454516</v>
      </c>
      <c r="F10" s="11">
        <f t="shared" si="0"/>
        <v>28.239160791235882</v>
      </c>
      <c r="G10" s="43">
        <v>10.050000000000001</v>
      </c>
      <c r="H10" s="45"/>
      <c r="I10" s="44">
        <v>176.71</v>
      </c>
      <c r="L10" s="27">
        <v>100</v>
      </c>
      <c r="M10" s="28">
        <v>4.9000000000000004</v>
      </c>
      <c r="N10" s="28">
        <v>3</v>
      </c>
      <c r="O10" s="28">
        <v>1</v>
      </c>
      <c r="S10" s="28">
        <v>100</v>
      </c>
    </row>
    <row r="11" spans="1:19" ht="16.2" thickBot="1" x14ac:dyDescent="0.35">
      <c r="A11" s="23">
        <v>90</v>
      </c>
      <c r="B11" s="31">
        <f t="shared" si="1"/>
        <v>8100</v>
      </c>
      <c r="C11" s="31">
        <f t="shared" si="2"/>
        <v>48.6</v>
      </c>
      <c r="D11" s="24">
        <v>0.54</v>
      </c>
      <c r="E11" s="39">
        <f t="shared" si="3"/>
        <v>0.54145454545454508</v>
      </c>
      <c r="F11" s="11"/>
      <c r="G11" s="43">
        <v>9.4700000000000006</v>
      </c>
      <c r="H11" s="45"/>
      <c r="I11" s="44">
        <v>186.71</v>
      </c>
      <c r="L11" s="27">
        <v>95</v>
      </c>
      <c r="M11" s="28">
        <v>9.5</v>
      </c>
      <c r="N11" s="28">
        <v>3.2</v>
      </c>
      <c r="O11" s="28">
        <v>2</v>
      </c>
      <c r="S11" s="28">
        <v>190</v>
      </c>
    </row>
    <row r="12" spans="1:19" ht="16.2" thickBot="1" x14ac:dyDescent="0.35">
      <c r="A12" s="23">
        <v>100</v>
      </c>
      <c r="B12" s="31">
        <f t="shared" si="1"/>
        <v>10000</v>
      </c>
      <c r="C12" s="31">
        <f t="shared" si="2"/>
        <v>59</v>
      </c>
      <c r="D12" s="24">
        <v>0.59</v>
      </c>
      <c r="E12" s="39">
        <f t="shared" si="3"/>
        <v>0.57045454545454499</v>
      </c>
      <c r="F12" s="11"/>
      <c r="G12" s="43">
        <v>9.0299999999999994</v>
      </c>
      <c r="H12" s="45"/>
      <c r="I12" s="44">
        <v>196.71</v>
      </c>
      <c r="L12" s="27">
        <v>95</v>
      </c>
      <c r="M12" s="28">
        <v>9.1999999999999993</v>
      </c>
      <c r="N12" s="28">
        <v>2.8</v>
      </c>
      <c r="O12" s="28">
        <v>2</v>
      </c>
      <c r="S12" s="28">
        <v>190</v>
      </c>
    </row>
    <row r="13" spans="1:19" ht="16.2" thickBot="1" x14ac:dyDescent="0.35">
      <c r="A13" s="23">
        <v>200</v>
      </c>
      <c r="B13" s="31"/>
      <c r="C13" s="31"/>
      <c r="D13" s="24">
        <v>1.19</v>
      </c>
      <c r="E13" s="39">
        <f t="shared" si="3"/>
        <v>0.86045454545454425</v>
      </c>
      <c r="F13" s="11"/>
      <c r="G13" s="43">
        <v>6.92</v>
      </c>
      <c r="H13" s="45"/>
      <c r="I13" s="44">
        <v>296.70999999999998</v>
      </c>
      <c r="L13" s="27">
        <v>100</v>
      </c>
      <c r="M13" s="28">
        <v>6.6</v>
      </c>
      <c r="N13" s="28">
        <v>2</v>
      </c>
      <c r="O13" s="28">
        <v>1</v>
      </c>
      <c r="S13" s="28">
        <v>100</v>
      </c>
    </row>
    <row r="14" spans="1:19" ht="16.2" thickBot="1" x14ac:dyDescent="0.35">
      <c r="A14" s="23">
        <v>300</v>
      </c>
      <c r="B14" s="31"/>
      <c r="C14" s="31"/>
      <c r="D14" s="24">
        <v>1.57</v>
      </c>
      <c r="E14" s="39">
        <f t="shared" si="3"/>
        <v>1.1504545454545436</v>
      </c>
      <c r="F14" s="11"/>
      <c r="G14" s="43">
        <v>6.57</v>
      </c>
      <c r="H14" s="45"/>
      <c r="I14" s="44">
        <v>396.71</v>
      </c>
      <c r="L14" s="27">
        <v>100</v>
      </c>
      <c r="M14" s="28">
        <v>4.8</v>
      </c>
      <c r="N14" s="28">
        <v>1</v>
      </c>
      <c r="O14" s="28">
        <v>1</v>
      </c>
      <c r="S14" s="28">
        <v>100</v>
      </c>
    </row>
    <row r="15" spans="1:19" ht="16.2" thickBot="1" x14ac:dyDescent="0.35">
      <c r="A15" s="23">
        <v>400</v>
      </c>
      <c r="B15" s="31"/>
      <c r="C15" s="32"/>
      <c r="D15" s="24">
        <v>2.13</v>
      </c>
      <c r="E15" s="39">
        <f t="shared" si="3"/>
        <v>1.440454545454543</v>
      </c>
      <c r="F15" s="11"/>
      <c r="G15" s="43">
        <v>6.37</v>
      </c>
      <c r="H15" s="45"/>
      <c r="I15" s="44">
        <v>496.71</v>
      </c>
      <c r="L15" s="27">
        <v>100</v>
      </c>
      <c r="M15" s="28">
        <v>8.4</v>
      </c>
      <c r="N15" s="28">
        <v>1</v>
      </c>
      <c r="O15" s="28">
        <v>1</v>
      </c>
      <c r="S15" s="28">
        <v>100</v>
      </c>
    </row>
    <row r="16" spans="1:19" x14ac:dyDescent="0.3">
      <c r="D16" s="3" t="s">
        <v>10</v>
      </c>
      <c r="E16" s="3"/>
      <c r="F16" s="12">
        <f>AVERAGE(F2:F15)/1000</f>
        <v>2.6087884784682578E-2</v>
      </c>
    </row>
    <row r="17" spans="1:18" x14ac:dyDescent="0.3">
      <c r="A17" t="s">
        <v>39</v>
      </c>
    </row>
    <row r="18" spans="1:18" x14ac:dyDescent="0.3">
      <c r="A18">
        <f>SUM(A2:A12)</f>
        <v>550</v>
      </c>
      <c r="B18">
        <f>SUM(B2:B12)</f>
        <v>38500</v>
      </c>
      <c r="C18">
        <f>SUM(C2:C12)</f>
        <v>265.89999999999998</v>
      </c>
      <c r="D18">
        <f>SUM(D2:D12)</f>
        <v>4.6800000000000006</v>
      </c>
    </row>
    <row r="19" spans="1:18" x14ac:dyDescent="0.3">
      <c r="A19" s="34" t="s">
        <v>37</v>
      </c>
      <c r="B19" s="36">
        <f>(B20*C18-A18*D18)/(B20*B18-A18*A18)</f>
        <v>2.8999999999999933E-3</v>
      </c>
      <c r="C19" s="34" t="s">
        <v>40</v>
      </c>
      <c r="D19" s="35">
        <f>(B18*D18-A18*C18)/(B20*B18-A18*A18)</f>
        <v>0.28045454545454568</v>
      </c>
      <c r="E19" s="35"/>
    </row>
    <row r="20" spans="1:18" x14ac:dyDescent="0.3">
      <c r="A20" s="34" t="s">
        <v>38</v>
      </c>
      <c r="B20">
        <v>11</v>
      </c>
      <c r="G20" s="6"/>
      <c r="H20" s="6"/>
    </row>
    <row r="21" spans="1:18" ht="15" thickBot="1" x14ac:dyDescent="0.35">
      <c r="A21" s="9" t="s">
        <v>11</v>
      </c>
      <c r="B21" s="9"/>
      <c r="C21" s="9"/>
      <c r="D21" s="7" t="s">
        <v>5</v>
      </c>
      <c r="E21" s="37"/>
      <c r="F21" s="4" t="s">
        <v>4</v>
      </c>
      <c r="G21" s="2" t="s">
        <v>31</v>
      </c>
      <c r="H21" s="2"/>
      <c r="I21" s="2" t="s">
        <v>6</v>
      </c>
      <c r="K21" s="2" t="s">
        <v>32</v>
      </c>
    </row>
    <row r="22" spans="1:18" ht="15" thickBot="1" x14ac:dyDescent="0.35">
      <c r="A22" s="25">
        <v>2.1999999999999998E-8</v>
      </c>
      <c r="B22" s="33">
        <f>A22*10^6</f>
        <v>2.1999999999999999E-2</v>
      </c>
      <c r="C22" s="33">
        <f>D22*1000</f>
        <v>92</v>
      </c>
      <c r="D22" s="29">
        <v>9.1999999999999998E-2</v>
      </c>
      <c r="E22" s="38">
        <f>F22*1000</f>
        <v>149.63000000000002</v>
      </c>
      <c r="F22" s="46">
        <v>0.14963000000000001</v>
      </c>
      <c r="G22" s="1">
        <f>(D22-F22)/F22 * 100</f>
        <v>-38.515003675733482</v>
      </c>
      <c r="H22" s="1"/>
      <c r="I22" s="1">
        <f>1000*((2*$K$2)*SQRT($F$16*A22))</f>
        <v>0.15052556839960149</v>
      </c>
      <c r="J22" t="s">
        <v>2</v>
      </c>
      <c r="K22" s="1">
        <f xml:space="preserve"> 2 * SQRT($F$16/A22)</f>
        <v>2177.9007734589736</v>
      </c>
    </row>
    <row r="23" spans="1:18" ht="15" thickBot="1" x14ac:dyDescent="0.35">
      <c r="A23" s="27">
        <v>3.2999999999999998E-8</v>
      </c>
      <c r="B23" s="33">
        <f t="shared" ref="B23:B25" si="4">A23*10^6</f>
        <v>3.2999999999999995E-2</v>
      </c>
      <c r="C23" s="33">
        <f t="shared" ref="C23:C25" si="5">D23*1000</f>
        <v>112</v>
      </c>
      <c r="D23" s="30">
        <v>0.112</v>
      </c>
      <c r="E23" s="38">
        <f t="shared" ref="E23:E25" si="6">F23*1000</f>
        <v>183.26000000000002</v>
      </c>
      <c r="F23" s="47">
        <v>0.18326000000000001</v>
      </c>
      <c r="G23" s="1">
        <f t="shared" ref="G23:G25" si="7">(D23-F23)/F23 * 100</f>
        <v>-38.88464476699771</v>
      </c>
      <c r="H23" s="1"/>
      <c r="I23" s="1">
        <f t="shared" ref="I23:I24" si="8">1000*((2*$K$2)*SQRT($F$16*A23))</f>
        <v>0.18435541791071577</v>
      </c>
      <c r="K23" s="1">
        <f t="shared" ref="K23:K25" si="9" xml:space="preserve"> 2 * SQRT($F$16/A23)</f>
        <v>1778.2485351291023</v>
      </c>
    </row>
    <row r="24" spans="1:18" ht="15" thickBot="1" x14ac:dyDescent="0.35">
      <c r="A24" s="27">
        <v>4.6999999999999997E-8</v>
      </c>
      <c r="B24" s="33">
        <f t="shared" si="4"/>
        <v>4.7E-2</v>
      </c>
      <c r="C24" s="33">
        <f t="shared" si="5"/>
        <v>134</v>
      </c>
      <c r="D24" s="30">
        <v>0.13400000000000001</v>
      </c>
      <c r="E24" s="38">
        <f t="shared" si="6"/>
        <v>218.70000000000002</v>
      </c>
      <c r="F24" s="47">
        <v>0.21870000000000001</v>
      </c>
      <c r="G24" s="1">
        <f t="shared" si="7"/>
        <v>-38.728852309099224</v>
      </c>
      <c r="H24" s="1"/>
      <c r="I24" s="1">
        <f t="shared" si="8"/>
        <v>0.22001275757174193</v>
      </c>
      <c r="K24" s="1">
        <f t="shared" si="9"/>
        <v>1490.048829263661</v>
      </c>
    </row>
    <row r="25" spans="1:18" ht="15" thickBot="1" x14ac:dyDescent="0.35">
      <c r="A25" s="27">
        <v>4.7E-7</v>
      </c>
      <c r="B25" s="33">
        <f t="shared" si="4"/>
        <v>0.47</v>
      </c>
      <c r="C25" s="33">
        <f t="shared" si="5"/>
        <v>430</v>
      </c>
      <c r="D25" s="30">
        <v>0.43</v>
      </c>
      <c r="E25" s="38">
        <f t="shared" si="6"/>
        <v>691.6</v>
      </c>
      <c r="F25" s="47">
        <v>0.69159999999999999</v>
      </c>
      <c r="G25" s="1">
        <f t="shared" si="7"/>
        <v>-37.825332562174665</v>
      </c>
      <c r="H25" s="1"/>
      <c r="I25" s="1">
        <f>1000*((2*$K$2)*SQRT($F$16*A25))</f>
        <v>0.69574142822116103</v>
      </c>
      <c r="K25" s="1">
        <f t="shared" si="9"/>
        <v>471.19481253405229</v>
      </c>
    </row>
    <row r="26" spans="1:18" x14ac:dyDescent="0.3">
      <c r="G26" s="6"/>
      <c r="H26" s="6"/>
      <c r="I26" s="5" t="s">
        <v>7</v>
      </c>
    </row>
    <row r="27" spans="1:18" x14ac:dyDescent="0.3">
      <c r="I27" s="1">
        <f>1000*((2*$K$2)/SQRT((1/($F$16*$A22))-(($I$2*$I$2)/(4*$F$16*$F$16))))</f>
        <v>0.15067419266174301</v>
      </c>
    </row>
    <row r="28" spans="1:18" x14ac:dyDescent="0.3">
      <c r="I28" s="1">
        <f>1000*((2*$K$2)/SQRT((1/($F$16*$A22))-(($I$13*$I$13)/(4*$F$16*$F$16))))</f>
        <v>0.15194222971429733</v>
      </c>
    </row>
    <row r="29" spans="1:18" x14ac:dyDescent="0.3">
      <c r="I29" s="1">
        <f>1000*((2*$K$2)/SQRT((1/($F$16*$A22))-(($I$15*$I$15)/(4*$F$16*$F$16))))</f>
        <v>0.15460002905396703</v>
      </c>
    </row>
    <row r="32" spans="1:18" x14ac:dyDescent="0.3">
      <c r="A32" s="18" t="s">
        <v>17</v>
      </c>
      <c r="B32" s="18"/>
      <c r="C32" s="18"/>
      <c r="D32" s="18" t="s">
        <v>18</v>
      </c>
      <c r="E32" s="18"/>
      <c r="F32" s="18" t="s">
        <v>19</v>
      </c>
      <c r="G32" s="18" t="s">
        <v>20</v>
      </c>
      <c r="H32" s="18"/>
      <c r="I32" s="18" t="s">
        <v>21</v>
      </c>
      <c r="J32" s="18" t="s">
        <v>9</v>
      </c>
      <c r="K32" s="18" t="s">
        <v>22</v>
      </c>
      <c r="L32" s="18" t="s">
        <v>23</v>
      </c>
      <c r="M32" s="18" t="s">
        <v>24</v>
      </c>
      <c r="N32" s="18" t="s">
        <v>25</v>
      </c>
      <c r="O32" s="18" t="s">
        <v>26</v>
      </c>
      <c r="P32" s="18" t="s">
        <v>27</v>
      </c>
      <c r="Q32" s="18" t="s">
        <v>28</v>
      </c>
      <c r="R32" s="18" t="s">
        <v>29</v>
      </c>
    </row>
    <row r="33" spans="1:18" x14ac:dyDescent="0.3">
      <c r="A33" s="19">
        <v>68</v>
      </c>
      <c r="B33" s="19"/>
      <c r="C33" s="19"/>
      <c r="D33" s="19">
        <v>150</v>
      </c>
      <c r="E33" s="19"/>
      <c r="F33" s="19">
        <v>680</v>
      </c>
      <c r="G33" s="19">
        <v>8200</v>
      </c>
      <c r="H33" s="19"/>
      <c r="I33" s="19">
        <v>470</v>
      </c>
      <c r="J33" s="19">
        <v>10</v>
      </c>
      <c r="K33" s="19">
        <v>2.1999999999999999E-2</v>
      </c>
      <c r="L33" s="19">
        <v>3.3000000000000002E-2</v>
      </c>
      <c r="M33" s="19">
        <v>4.7E-2</v>
      </c>
      <c r="N33" s="19">
        <v>4.7E-2</v>
      </c>
      <c r="O33" s="19">
        <v>0.64</v>
      </c>
      <c r="P33" s="19">
        <v>7.8</v>
      </c>
      <c r="Q33" s="19">
        <v>1700</v>
      </c>
      <c r="R33" s="19">
        <v>1000</v>
      </c>
    </row>
    <row r="34" spans="1:18" x14ac:dyDescent="0.3">
      <c r="A34" s="48" t="s">
        <v>30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19">
        <f>+-0.05</f>
        <v>-0.05</v>
      </c>
      <c r="P34" s="19">
        <f>+-0.1</f>
        <v>-0.1</v>
      </c>
      <c r="Q34" s="19"/>
      <c r="R34" s="19"/>
    </row>
  </sheetData>
  <mergeCells count="1">
    <mergeCell ref="A34:N34"/>
  </mergeCells>
  <pageMargins left="0.7" right="0.7" top="0.75" bottom="0.75" header="0.3" footer="0.3"/>
  <pageSetup paperSize="9" orientation="portrait" r:id="rId1"/>
  <ignoredErrors>
    <ignoredError sqref="G22:G2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Шатинский</dc:creator>
  <cp:lastModifiedBy>User</cp:lastModifiedBy>
  <dcterms:created xsi:type="dcterms:W3CDTF">2021-09-27T11:06:31Z</dcterms:created>
  <dcterms:modified xsi:type="dcterms:W3CDTF">2026-03-06T13:14:12Z</dcterms:modified>
</cp:coreProperties>
</file>