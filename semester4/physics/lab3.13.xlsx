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ITMO\semester4\physics\"/>
    </mc:Choice>
  </mc:AlternateContent>
  <xr:revisionPtr revIDLastSave="0" documentId="13_ncr:1_{2873F797-4FE1-4390-A7E5-4751E7A4A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  <c r="G2" i="2"/>
  <c r="E2" i="2"/>
  <c r="E3" i="2"/>
  <c r="G3" i="2"/>
  <c r="E4" i="2"/>
  <c r="G4" i="2"/>
  <c r="E5" i="2"/>
  <c r="G5" i="2"/>
  <c r="E6" i="2"/>
  <c r="G6" i="2"/>
  <c r="E7" i="2"/>
  <c r="G7" i="2"/>
  <c r="E8" i="2"/>
  <c r="G8" i="2" s="1"/>
  <c r="E9" i="2"/>
  <c r="G9" i="2"/>
  <c r="E10" i="2"/>
  <c r="G10" i="2"/>
  <c r="E11" i="2"/>
  <c r="G11" i="2"/>
  <c r="E12" i="2"/>
  <c r="G12" i="2"/>
  <c r="E13" i="2"/>
  <c r="G13" i="2" s="1"/>
  <c r="E14" i="2"/>
  <c r="G14" i="2"/>
  <c r="E15" i="2"/>
  <c r="G15" i="2"/>
</calcChain>
</file>

<file path=xl/sharedStrings.xml><?xml version="1.0" encoding="utf-8"?>
<sst xmlns="http://schemas.openxmlformats.org/spreadsheetml/2006/main" count="8" uniqueCount="8">
  <si>
    <t>альфа_i</t>
  </si>
  <si>
    <t>I_1</t>
  </si>
  <si>
    <t>I_2</t>
  </si>
  <si>
    <t>I_3</t>
  </si>
  <si>
    <t>среднее</t>
  </si>
  <si>
    <t>синус писинус</t>
  </si>
  <si>
    <t>Bс, мкТл</t>
  </si>
  <si>
    <t>R^2=0,9891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</si>
</sst>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00"/>
    <numFmt numFmtId="176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75" fontId="0" fillId="0" borderId="0" xfId="0" applyNumberFormat="1"/>
    <xf numFmtId="176" fontId="1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baseline="0"/>
              <a:t>B</a:t>
            </a:r>
            <a:r>
              <a:rPr lang="en-US" sz="1400" b="0" i="0" u="none" strike="noStrike" baseline="-25000"/>
              <a:t>c</a:t>
            </a:r>
            <a:r>
              <a:rPr lang="el-GR" sz="1400" b="0" i="0" u="none" strike="noStrike" baseline="0"/>
              <a:t> (𝛾</a:t>
            </a:r>
            <a:r>
              <a:rPr lang="en-US" sz="1400" b="0" i="0" u="none" strike="noStrike" baseline="-25000">
                <a:effectLst/>
              </a:rPr>
              <a:t>i</a:t>
            </a:r>
            <a:r>
              <a:rPr lang="el-GR" sz="1400" b="0" i="0" u="none" strike="noStrike" baseline="0"/>
              <a:t>)</a:t>
            </a:r>
            <a:endParaRPr lang="en-US"/>
          </a:p>
        </c:rich>
      </c:tx>
      <c:layout>
        <c:manualLayout>
          <c:xMode val="edge"/>
          <c:yMode val="edge"/>
          <c:x val="0.39306310039836773"/>
          <c:y val="2.4691450053551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472116127731538E-2"/>
          <c:y val="0.1404525438971039"/>
          <c:w val="0.58506737155721833"/>
          <c:h val="0.69140085492308312"/>
        </c:manualLayout>
      </c:layout>
      <c:scatterChart>
        <c:scatterStyle val="lineMarker"/>
        <c:varyColors val="0"/>
        <c:ser>
          <c:idx val="0"/>
          <c:order val="0"/>
          <c:tx>
            <c:v>Экспериментальные 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Аппроксимирующая приямая y = 22,478x - 0,511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Лист2!$F$2:$F$15</c:f>
              <c:numCache>
                <c:formatCode>0.000</c:formatCode>
                <c:ptCount val="14"/>
                <c:pt idx="0">
                  <c:v>0.34729635533386072</c:v>
                </c:pt>
                <c:pt idx="1">
                  <c:v>0.53208888623795592</c:v>
                </c:pt>
                <c:pt idx="2">
                  <c:v>0.65270364466613928</c:v>
                </c:pt>
                <c:pt idx="3">
                  <c:v>0.74222719896855904</c:v>
                </c:pt>
                <c:pt idx="4">
                  <c:v>0.81520746909590458</c:v>
                </c:pt>
                <c:pt idx="5">
                  <c:v>0.87938524157181674</c:v>
                </c:pt>
                <c:pt idx="6">
                  <c:v>0.93969262078590832</c:v>
                </c:pt>
                <c:pt idx="7">
                  <c:v>1</c:v>
                </c:pt>
                <c:pt idx="8">
                  <c:v>1.0641777724759123</c:v>
                </c:pt>
                <c:pt idx="9">
                  <c:v>1.1371580426032577</c:v>
                </c:pt>
                <c:pt idx="10">
                  <c:v>1.2266815969056775</c:v>
                </c:pt>
                <c:pt idx="11">
                  <c:v>1.3472963553338611</c:v>
                </c:pt>
                <c:pt idx="12">
                  <c:v>1.5320888862379562</c:v>
                </c:pt>
                <c:pt idx="13">
                  <c:v>1.8793852415718173</c:v>
                </c:pt>
              </c:numCache>
            </c:numRef>
          </c:xVal>
          <c:yVal>
            <c:numRef>
              <c:f>Лист2!$G$2:$G$15</c:f>
              <c:numCache>
                <c:formatCode>0.000</c:formatCode>
                <c:ptCount val="14"/>
                <c:pt idx="0">
                  <c:v>6.8137580751214593</c:v>
                </c:pt>
                <c:pt idx="1">
                  <c:v>10.98993237922816</c:v>
                </c:pt>
                <c:pt idx="2">
                  <c:v>13.447680893128279</c:v>
                </c:pt>
                <c:pt idx="3">
                  <c:v>16.185173140317836</c:v>
                </c:pt>
                <c:pt idx="4">
                  <c:v>17.464001635355295</c:v>
                </c:pt>
                <c:pt idx="5">
                  <c:v>19.162445730326922</c:v>
                </c:pt>
                <c:pt idx="6">
                  <c:v>21.040725082413186</c:v>
                </c:pt>
                <c:pt idx="7">
                  <c:v>22.659242396444967</c:v>
                </c:pt>
                <c:pt idx="8">
                  <c:v>23.278674948728739</c:v>
                </c:pt>
                <c:pt idx="9">
                  <c:v>25.236881081754845</c:v>
                </c:pt>
                <c:pt idx="10">
                  <c:v>27.914428243239527</c:v>
                </c:pt>
                <c:pt idx="11">
                  <c:v>30.871719138013649</c:v>
                </c:pt>
                <c:pt idx="12">
                  <c:v>35.347618870644752</c:v>
                </c:pt>
                <c:pt idx="13">
                  <c:v>39.264031136696964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3-4DD2-8DDF-91315E0C7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284368"/>
        <c:axId val="1110294352"/>
      </c:scatterChart>
      <c:valAx>
        <c:axId val="111028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𝛾</a:t>
                </a:r>
                <a:r>
                  <a:rPr lang="en-US" sz="1000" b="0" i="0" u="none" strike="noStrike" baseline="-25000">
                    <a:effectLst/>
                  </a:rPr>
                  <a:t>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94352"/>
        <c:crosses val="autoZero"/>
        <c:crossBetween val="midCat"/>
      </c:valAx>
      <c:valAx>
        <c:axId val="11102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B</a:t>
                </a:r>
                <a:r>
                  <a:rPr lang="en-US" sz="1000" b="0" i="0" u="none" strike="noStrike" baseline="-25000">
                    <a:effectLst/>
                  </a:rPr>
                  <a:t>c</a:t>
                </a:r>
                <a:r>
                  <a:rPr lang="el-GR" sz="1000" b="0" i="0" u="none" strike="noStrike" baseline="0">
                    <a:effectLst/>
                  </a:rPr>
                  <a:t> </a:t>
                </a:r>
                <a:r>
                  <a:rPr lang="en-US"/>
                  <a:t>, </a:t>
                </a:r>
                <a:r>
                  <a:rPr lang="ru-RU"/>
                  <a:t>мкТл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028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16909159470285"/>
          <c:y val="0.44362726528251645"/>
          <c:w val="0.26835870267283446"/>
          <c:h val="0.21276185997288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600075</xdr:colOff>
      <xdr:row>17</xdr:row>
      <xdr:rowOff>107632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E2D13C-D196-426B-AE45-8DAE75A1F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1871-E347-4AF1-BF09-A8A7217622CD}">
  <dimension ref="A1:P22"/>
  <sheetViews>
    <sheetView tabSelected="1" topLeftCell="I2" zoomScale="150" zoomScaleNormal="150" workbookViewId="0">
      <selection activeCell="T10" sqref="T10"/>
    </sheetView>
  </sheetViews>
  <sheetFormatPr defaultRowHeight="14.4" x14ac:dyDescent="0.3"/>
  <cols>
    <col min="1" max="4" width="13.109375" customWidth="1"/>
    <col min="5" max="7" width="11.5546875" customWidth="1"/>
  </cols>
  <sheetData>
    <row r="1" spans="1:7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6.2" thickBot="1" x14ac:dyDescent="0.35">
      <c r="A2" s="1">
        <v>10</v>
      </c>
      <c r="B2" s="4">
        <v>10.199999999999999</v>
      </c>
      <c r="C2" s="4">
        <v>12.4</v>
      </c>
      <c r="D2" s="4">
        <v>11.5</v>
      </c>
      <c r="E2" s="3">
        <f>AVERAGE(B2:D2)</f>
        <v>11.366666666666667</v>
      </c>
      <c r="F2" s="3">
        <f>SIN(A2*2*PI()/360)/SIN((160-A2)*2*PI()/360)</f>
        <v>0.34729635533386072</v>
      </c>
      <c r="G2" s="3">
        <f>4*PI()*10^(-7)*(4/5)^(3/2)*(100*E2*10^(-3)/0.15)*10^(6)</f>
        <v>6.8137580751214593</v>
      </c>
    </row>
    <row r="3" spans="1:7" ht="16.2" thickBot="1" x14ac:dyDescent="0.35">
      <c r="A3" s="1">
        <v>20</v>
      </c>
      <c r="B3" s="4">
        <v>18.399999999999999</v>
      </c>
      <c r="C3" s="4">
        <v>17.7</v>
      </c>
      <c r="D3" s="4">
        <v>18.899999999999999</v>
      </c>
      <c r="E3" s="3">
        <f t="shared" ref="E3:E15" si="0">AVERAGE(B3:D3)</f>
        <v>18.333333333333332</v>
      </c>
      <c r="F3" s="3">
        <f t="shared" ref="F3:F15" si="1">SIN(A3*2*PI()/360)/SIN((160-A3)*2*PI()/360)</f>
        <v>0.53208888623795592</v>
      </c>
      <c r="G3" s="3">
        <f t="shared" ref="G3:G15" si="2">4*PI()*10^(-7)*(4/5)^(3/2)*(100*E3*10^(-3)/0.15)*10^(6)</f>
        <v>10.98993237922816</v>
      </c>
    </row>
    <row r="4" spans="1:7" ht="16.2" thickBot="1" x14ac:dyDescent="0.35">
      <c r="A4" s="1">
        <v>30</v>
      </c>
      <c r="B4" s="4">
        <v>22.6</v>
      </c>
      <c r="C4" s="4">
        <v>21.8</v>
      </c>
      <c r="D4" s="4">
        <v>22.9</v>
      </c>
      <c r="E4" s="3">
        <f t="shared" si="0"/>
        <v>22.433333333333337</v>
      </c>
      <c r="F4" s="3">
        <f t="shared" si="1"/>
        <v>0.65270364466613928</v>
      </c>
      <c r="G4" s="3">
        <f t="shared" si="2"/>
        <v>13.447680893128279</v>
      </c>
    </row>
    <row r="5" spans="1:7" ht="16.2" thickBot="1" x14ac:dyDescent="0.35">
      <c r="A5" s="1">
        <v>40</v>
      </c>
      <c r="B5" s="4">
        <v>27.3</v>
      </c>
      <c r="C5" s="4">
        <v>27</v>
      </c>
      <c r="D5" s="4">
        <v>26.7</v>
      </c>
      <c r="E5" s="3">
        <f t="shared" si="0"/>
        <v>27</v>
      </c>
      <c r="F5" s="3">
        <f t="shared" si="1"/>
        <v>0.74222719896855904</v>
      </c>
      <c r="G5" s="3">
        <f t="shared" si="2"/>
        <v>16.185173140317836</v>
      </c>
    </row>
    <row r="6" spans="1:7" ht="16.2" thickBot="1" x14ac:dyDescent="0.35">
      <c r="A6" s="1">
        <v>50</v>
      </c>
      <c r="B6" s="4">
        <v>29.5</v>
      </c>
      <c r="C6" s="4">
        <v>28.8</v>
      </c>
      <c r="D6" s="4">
        <v>29.1</v>
      </c>
      <c r="E6" s="3">
        <f t="shared" si="0"/>
        <v>29.133333333333336</v>
      </c>
      <c r="F6" s="3">
        <f t="shared" si="1"/>
        <v>0.81520746909590458</v>
      </c>
      <c r="G6" s="3">
        <f t="shared" si="2"/>
        <v>17.464001635355295</v>
      </c>
    </row>
    <row r="7" spans="1:7" ht="16.2" thickBot="1" x14ac:dyDescent="0.35">
      <c r="A7" s="1">
        <v>60</v>
      </c>
      <c r="B7" s="4">
        <v>31.9</v>
      </c>
      <c r="C7" s="4">
        <v>32.1</v>
      </c>
      <c r="D7" s="4">
        <v>31.9</v>
      </c>
      <c r="E7" s="3">
        <f t="shared" si="0"/>
        <v>31.966666666666669</v>
      </c>
      <c r="F7" s="3">
        <f t="shared" si="1"/>
        <v>0.87938524157181674</v>
      </c>
      <c r="G7" s="3">
        <f t="shared" si="2"/>
        <v>19.162445730326922</v>
      </c>
    </row>
    <row r="8" spans="1:7" ht="16.2" thickBot="1" x14ac:dyDescent="0.35">
      <c r="A8" s="1">
        <v>70</v>
      </c>
      <c r="B8" s="4">
        <v>35.200000000000003</v>
      </c>
      <c r="C8" s="4">
        <v>35.299999999999997</v>
      </c>
      <c r="D8" s="4">
        <v>34.799999999999997</v>
      </c>
      <c r="E8" s="3">
        <f t="shared" si="0"/>
        <v>35.1</v>
      </c>
      <c r="F8" s="3">
        <f t="shared" si="1"/>
        <v>0.93969262078590832</v>
      </c>
      <c r="G8" s="3">
        <f t="shared" si="2"/>
        <v>21.040725082413186</v>
      </c>
    </row>
    <row r="9" spans="1:7" ht="16.2" thickBot="1" x14ac:dyDescent="0.35">
      <c r="A9" s="1">
        <v>80</v>
      </c>
      <c r="B9" s="4">
        <v>37.700000000000003</v>
      </c>
      <c r="C9" s="4">
        <v>37.9</v>
      </c>
      <c r="D9" s="4">
        <v>37.799999999999997</v>
      </c>
      <c r="E9" s="3">
        <f t="shared" si="0"/>
        <v>37.799999999999997</v>
      </c>
      <c r="F9" s="3">
        <f t="shared" si="1"/>
        <v>1</v>
      </c>
      <c r="G9" s="3">
        <f t="shared" si="2"/>
        <v>22.659242396444967</v>
      </c>
    </row>
    <row r="10" spans="1:7" ht="16.2" thickBot="1" x14ac:dyDescent="0.35">
      <c r="A10" s="1">
        <v>90</v>
      </c>
      <c r="B10" s="4">
        <v>39</v>
      </c>
      <c r="C10" s="4">
        <v>38.9</v>
      </c>
      <c r="D10" s="4">
        <v>38.6</v>
      </c>
      <c r="E10" s="3">
        <f t="shared" si="0"/>
        <v>38.833333333333336</v>
      </c>
      <c r="F10" s="3">
        <f t="shared" si="1"/>
        <v>1.0641777724759123</v>
      </c>
      <c r="G10" s="3">
        <f t="shared" si="2"/>
        <v>23.278674948728739</v>
      </c>
    </row>
    <row r="11" spans="1:7" ht="16.2" thickBot="1" x14ac:dyDescent="0.35">
      <c r="A11" s="1">
        <v>100</v>
      </c>
      <c r="B11" s="4">
        <v>42.4</v>
      </c>
      <c r="C11" s="4">
        <v>41.9</v>
      </c>
      <c r="D11" s="4">
        <v>42</v>
      </c>
      <c r="E11" s="3">
        <f t="shared" si="0"/>
        <v>42.1</v>
      </c>
      <c r="F11" s="3">
        <f t="shared" si="1"/>
        <v>1.1371580426032577</v>
      </c>
      <c r="G11" s="3">
        <f t="shared" si="2"/>
        <v>25.236881081754845</v>
      </c>
    </row>
    <row r="12" spans="1:7" ht="16.2" thickBot="1" x14ac:dyDescent="0.35">
      <c r="A12" s="1">
        <v>110</v>
      </c>
      <c r="B12" s="4">
        <v>46.7</v>
      </c>
      <c r="C12" s="4">
        <v>46.1</v>
      </c>
      <c r="D12" s="4">
        <v>46.9</v>
      </c>
      <c r="E12" s="3">
        <f t="shared" si="0"/>
        <v>46.56666666666667</v>
      </c>
      <c r="F12" s="3">
        <f t="shared" si="1"/>
        <v>1.2266815969056775</v>
      </c>
      <c r="G12" s="3">
        <f t="shared" si="2"/>
        <v>27.914428243239527</v>
      </c>
    </row>
    <row r="13" spans="1:7" ht="16.2" thickBot="1" x14ac:dyDescent="0.35">
      <c r="A13" s="1">
        <v>120</v>
      </c>
      <c r="B13" s="4">
        <v>51.6</v>
      </c>
      <c r="C13" s="4">
        <v>51.9</v>
      </c>
      <c r="D13" s="4">
        <v>51</v>
      </c>
      <c r="E13" s="3">
        <f t="shared" si="0"/>
        <v>51.5</v>
      </c>
      <c r="F13" s="3">
        <f t="shared" si="1"/>
        <v>1.3472963553338611</v>
      </c>
      <c r="G13" s="3">
        <f t="shared" si="2"/>
        <v>30.871719138013649</v>
      </c>
    </row>
    <row r="14" spans="1:7" ht="16.2" thickBot="1" x14ac:dyDescent="0.35">
      <c r="A14" s="1">
        <v>130</v>
      </c>
      <c r="B14" s="4">
        <v>59.1</v>
      </c>
      <c r="C14" s="4">
        <v>58.8</v>
      </c>
      <c r="D14" s="4">
        <v>59</v>
      </c>
      <c r="E14" s="3">
        <f t="shared" si="0"/>
        <v>58.966666666666669</v>
      </c>
      <c r="F14" s="3">
        <f t="shared" si="1"/>
        <v>1.5320888862379562</v>
      </c>
      <c r="G14" s="3">
        <f t="shared" si="2"/>
        <v>35.347618870644752</v>
      </c>
    </row>
    <row r="15" spans="1:7" ht="16.2" thickBot="1" x14ac:dyDescent="0.35">
      <c r="A15" s="1">
        <v>140</v>
      </c>
      <c r="B15" s="4">
        <v>65.8</v>
      </c>
      <c r="C15" s="4">
        <v>65</v>
      </c>
      <c r="D15" s="4">
        <v>65.7</v>
      </c>
      <c r="E15" s="3">
        <f t="shared" si="0"/>
        <v>65.5</v>
      </c>
      <c r="F15" s="3">
        <f t="shared" si="1"/>
        <v>1.8793852415718173</v>
      </c>
      <c r="G15" s="3">
        <f t="shared" si="2"/>
        <v>39.264031136696964</v>
      </c>
    </row>
    <row r="22" spans="16:16" x14ac:dyDescent="0.3">
      <c r="P22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😑🤪Данил🤫🤨</dc:creator>
  <cp:lastModifiedBy>User</cp:lastModifiedBy>
  <dcterms:created xsi:type="dcterms:W3CDTF">2015-06-05T18:19:34Z</dcterms:created>
  <dcterms:modified xsi:type="dcterms:W3CDTF">2026-04-11T21:45:52Z</dcterms:modified>
</cp:coreProperties>
</file>