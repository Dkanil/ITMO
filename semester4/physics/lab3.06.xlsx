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85CD01-48A1-4CDD-B81F-C9A438539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1.01" sheetId="2" r:id="rId2"/>
    <sheet name="Лист1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7" i="1" l="1"/>
  <c r="X14" i="1"/>
  <c r="X13" i="1"/>
  <c r="F15" i="3"/>
  <c r="E15" i="3"/>
  <c r="G15" i="3" s="1"/>
  <c r="F14" i="3"/>
  <c r="K14" i="3" s="1"/>
  <c r="E14" i="3"/>
  <c r="G14" i="3" s="1"/>
  <c r="L14" i="3" s="1"/>
  <c r="M14" i="3" s="1"/>
  <c r="F13" i="3"/>
  <c r="E13" i="3"/>
  <c r="G13" i="3" s="1"/>
  <c r="F12" i="3"/>
  <c r="K12" i="3" s="1"/>
  <c r="E12" i="3"/>
  <c r="G12" i="3" s="1"/>
  <c r="L12" i="3" s="1"/>
  <c r="M12" i="3" s="1"/>
  <c r="F11" i="3"/>
  <c r="E11" i="3"/>
  <c r="G11" i="3" s="1"/>
  <c r="F10" i="3"/>
  <c r="K10" i="3" s="1"/>
  <c r="E10" i="3"/>
  <c r="G10" i="3" s="1"/>
  <c r="F9" i="3"/>
  <c r="E9" i="3"/>
  <c r="G9" i="3" s="1"/>
  <c r="F8" i="3"/>
  <c r="K8" i="3" s="1"/>
  <c r="E8" i="3"/>
  <c r="G8" i="3" s="1"/>
  <c r="L8" i="3" s="1"/>
  <c r="M8" i="3" s="1"/>
  <c r="F7" i="3"/>
  <c r="E7" i="3"/>
  <c r="G7" i="3" s="1"/>
  <c r="F6" i="3"/>
  <c r="K6" i="3" s="1"/>
  <c r="E6" i="3"/>
  <c r="G6" i="3" s="1"/>
  <c r="L6" i="3" s="1"/>
  <c r="M6" i="3" s="1"/>
  <c r="F5" i="3"/>
  <c r="E5" i="3"/>
  <c r="G5" i="3" s="1"/>
  <c r="F4" i="3"/>
  <c r="E4" i="3"/>
  <c r="G4" i="3" s="1"/>
  <c r="F3" i="3"/>
  <c r="E3" i="3"/>
  <c r="G3" i="3" s="1"/>
  <c r="F2" i="3"/>
  <c r="K2" i="3" s="1"/>
  <c r="E2" i="3"/>
  <c r="G2" i="3" s="1"/>
  <c r="K46" i="2"/>
  <c r="K45" i="2"/>
  <c r="K44" i="2"/>
  <c r="K43" i="2"/>
  <c r="K42" i="2"/>
  <c r="K41" i="2"/>
  <c r="M38" i="2" s="1"/>
  <c r="K40" i="2"/>
  <c r="K39" i="2"/>
  <c r="K38" i="2"/>
  <c r="L37" i="2"/>
  <c r="K37" i="2"/>
  <c r="L36" i="2"/>
  <c r="K36" i="2"/>
  <c r="C36" i="2"/>
  <c r="B38" i="2" s="1"/>
  <c r="B36" i="2"/>
  <c r="A36" i="2"/>
  <c r="L35" i="2"/>
  <c r="K35" i="2"/>
  <c r="C35" i="2"/>
  <c r="B37" i="2" s="1"/>
  <c r="B35" i="2"/>
  <c r="A35" i="2"/>
  <c r="L34" i="2"/>
  <c r="K34" i="2"/>
  <c r="L33" i="2"/>
  <c r="K33" i="2"/>
  <c r="L32" i="2"/>
  <c r="K32" i="2"/>
  <c r="L31" i="2"/>
  <c r="K31" i="2"/>
  <c r="L30" i="2"/>
  <c r="K30" i="2"/>
  <c r="N29" i="2"/>
  <c r="L29" i="2"/>
  <c r="K29" i="2"/>
  <c r="M29" i="2" s="1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M20" i="2" s="1"/>
  <c r="L20" i="2"/>
  <c r="N20" i="2" s="1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M11" i="2" s="1"/>
  <c r="L12" i="2"/>
  <c r="K12" i="2"/>
  <c r="N11" i="2"/>
  <c r="L11" i="2"/>
  <c r="K11" i="2"/>
  <c r="L10" i="2"/>
  <c r="K10" i="2"/>
  <c r="L9" i="2"/>
  <c r="K9" i="2"/>
  <c r="L8" i="2"/>
  <c r="K8" i="2"/>
  <c r="L7" i="2"/>
  <c r="K7" i="2"/>
  <c r="L6" i="2"/>
  <c r="K6" i="2"/>
  <c r="M2" i="2" s="1"/>
  <c r="L5" i="2"/>
  <c r="K5" i="2"/>
  <c r="L4" i="2"/>
  <c r="K4" i="2"/>
  <c r="L3" i="2"/>
  <c r="N2" i="2" s="1"/>
  <c r="K3" i="2"/>
  <c r="L2" i="2"/>
  <c r="K2" i="2"/>
  <c r="M5" i="1"/>
  <c r="M4" i="1"/>
  <c r="M3" i="1"/>
  <c r="M2" i="1"/>
  <c r="K2" i="1"/>
  <c r="M1" i="1"/>
  <c r="O2" i="2" l="1"/>
  <c r="L2" i="3"/>
  <c r="M2" i="3" s="1"/>
  <c r="O15" i="3" s="1"/>
  <c r="P15" i="3" s="1"/>
  <c r="H2" i="3"/>
  <c r="L10" i="3"/>
  <c r="M10" i="3" s="1"/>
  <c r="O11" i="3"/>
  <c r="P11" i="3" s="1"/>
  <c r="O4" i="3"/>
  <c r="P4" i="3" s="1"/>
  <c r="L3" i="3"/>
  <c r="M3" i="3" s="1"/>
  <c r="L5" i="3"/>
  <c r="M5" i="3" s="1"/>
  <c r="O5" i="3"/>
  <c r="P5" i="3" s="1"/>
  <c r="O13" i="3"/>
  <c r="P13" i="3" s="1"/>
  <c r="N2" i="3"/>
  <c r="O2" i="3"/>
  <c r="P2" i="3" s="1"/>
  <c r="K4" i="3"/>
  <c r="L4" i="3" s="1"/>
  <c r="M4" i="3" s="1"/>
  <c r="K3" i="3"/>
  <c r="K5" i="3"/>
  <c r="K7" i="3"/>
  <c r="L7" i="3" s="1"/>
  <c r="M7" i="3" s="1"/>
  <c r="K9" i="3"/>
  <c r="L9" i="3" s="1"/>
  <c r="M9" i="3" s="1"/>
  <c r="K11" i="3"/>
  <c r="L11" i="3" s="1"/>
  <c r="M11" i="3" s="1"/>
  <c r="K13" i="3"/>
  <c r="L13" i="3" s="1"/>
  <c r="M13" i="3" s="1"/>
  <c r="K15" i="3"/>
  <c r="L15" i="3" s="1"/>
  <c r="M15" i="3" s="1"/>
  <c r="J2" i="1"/>
  <c r="O3" i="3" l="1"/>
  <c r="P3" i="3" s="1"/>
  <c r="O7" i="3"/>
  <c r="P7" i="3" s="1"/>
  <c r="O9" i="3"/>
  <c r="P9" i="3" s="1"/>
  <c r="O12" i="3"/>
  <c r="P12" i="3" s="1"/>
  <c r="O10" i="3"/>
  <c r="P10" i="3" s="1"/>
  <c r="O8" i="3"/>
  <c r="P8" i="3" s="1"/>
  <c r="O6" i="3"/>
  <c r="P6" i="3" s="1"/>
  <c r="Q2" i="3" s="1"/>
  <c r="R2" i="3" s="1"/>
  <c r="S2" i="3"/>
  <c r="O14" i="3"/>
  <c r="P14" i="3" s="1"/>
  <c r="T2" i="3" l="1"/>
</calcChain>
</file>

<file path=xl/sharedStrings.xml><?xml version="1.0" encoding="utf-8"?>
<sst xmlns="http://schemas.openxmlformats.org/spreadsheetml/2006/main" count="46" uniqueCount="37">
  <si>
    <t>N</t>
  </si>
  <si>
    <t>U, В</t>
  </si>
  <si>
    <t>K_x, В/дел</t>
  </si>
  <si>
    <t>K_y, В/дел</t>
  </si>
  <si>
    <t>X, дел</t>
  </si>
  <si>
    <t>Y, дел</t>
  </si>
  <si>
    <t>E, В/м</t>
  </si>
  <si>
    <t>D, Кл/м^2</t>
  </si>
  <si>
    <t>𝜀</t>
  </si>
  <si>
    <t>P_r</t>
  </si>
  <si>
    <t>tg</t>
  </si>
  <si>
    <t>R_1, Ом</t>
  </si>
  <si>
    <t>R_2, Ом</t>
  </si>
  <si>
    <t>C_1, Ф</t>
  </si>
  <si>
    <t>S, м^2</t>
  </si>
  <si>
    <t>d, м</t>
  </si>
  <si>
    <t>S петли</t>
  </si>
  <si>
    <t>Обычное</t>
  </si>
  <si>
    <t>x, см</t>
  </si>
  <si>
    <t>y, см</t>
  </si>
  <si>
    <t>I_1</t>
  </si>
  <si>
    <t>I_2</t>
  </si>
  <si>
    <t>I_3</t>
  </si>
  <si>
    <t>среднее</t>
  </si>
  <si>
    <t>синус писинус</t>
  </si>
  <si>
    <t>𝐵с, мкТл</t>
  </si>
  <si>
    <t>B сумм</t>
  </si>
  <si>
    <t>a</t>
  </si>
  <si>
    <t>b</t>
  </si>
  <si>
    <t>a * gamma +b</t>
  </si>
  <si>
    <t>(B - a * gamma +b)</t>
  </si>
  <si>
    <t>^2</t>
  </si>
  <si>
    <t>гамма сред</t>
  </si>
  <si>
    <t>гамма - гамма сред</t>
  </si>
  <si>
    <t>сумм</t>
  </si>
  <si>
    <t>(n-2)*сумм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</si>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</sst>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9">
    <font>
      <sz val="10"/>
      <color rgb="FF000000"/>
      <name val="Arial"/>
      <scheme val="minor"/>
    </font>
    <font>
      <sz val="12"/>
      <color rgb="FF000000"/>
      <name val="'Times New Roman'"/>
    </font>
    <font>
      <sz val="10"/>
      <color theme="1"/>
      <name val="Arial"/>
      <scheme val="minor"/>
    </font>
    <font>
      <sz val="10"/>
      <name val="Arial"/>
    </font>
    <font>
      <sz val="12"/>
      <color rgb="FF000000"/>
      <name val="Times New Roman"/>
    </font>
    <font>
      <sz val="12"/>
      <color theme="1"/>
      <name val="Times New Roman"/>
    </font>
    <font>
      <i/>
      <sz val="12"/>
      <color rgb="FF000000"/>
      <name val="'Times New Roman'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0" fontId="2" fillId="3" borderId="0" xfId="0" applyFont="1" applyFill="1"/>
    <xf numFmtId="0" fontId="2" fillId="0" borderId="0" xfId="0" applyFont="1" applyAlignment="1"/>
    <xf numFmtId="165" fontId="2" fillId="0" borderId="0" xfId="0" applyNumberFormat="1" applyFo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8" fillId="0" borderId="0" xfId="0" applyFont="1" applyAlignment="1"/>
    <xf numFmtId="165" fontId="8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baseline="0"/>
              <a:t>D(E)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7153304310243"/>
          <c:y val="0.13689799014031095"/>
          <c:w val="0.69721418410484937"/>
          <c:h val="0.70200985968904062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Лист1!$G$2:$G$14</c:f>
              <c:numCache>
                <c:formatCode>General</c:formatCode>
                <c:ptCount val="13"/>
                <c:pt idx="0">
                  <c:v>275000</c:v>
                </c:pt>
                <c:pt idx="1">
                  <c:v>220000</c:v>
                </c:pt>
                <c:pt idx="2">
                  <c:v>165000</c:v>
                </c:pt>
                <c:pt idx="3">
                  <c:v>110000</c:v>
                </c:pt>
                <c:pt idx="4">
                  <c:v>88000</c:v>
                </c:pt>
                <c:pt idx="5">
                  <c:v>66000</c:v>
                </c:pt>
                <c:pt idx="6">
                  <c:v>55000</c:v>
                </c:pt>
                <c:pt idx="7">
                  <c:v>44000</c:v>
                </c:pt>
                <c:pt idx="8">
                  <c:v>33000</c:v>
                </c:pt>
                <c:pt idx="9">
                  <c:v>27500</c:v>
                </c:pt>
                <c:pt idx="10">
                  <c:v>22000</c:v>
                </c:pt>
                <c:pt idx="11">
                  <c:v>16500</c:v>
                </c:pt>
                <c:pt idx="12">
                  <c:v>9680</c:v>
                </c:pt>
              </c:numCache>
            </c:numRef>
          </c:xVal>
          <c:yVal>
            <c:numRef>
              <c:f>Лист1!$H$2:$H$14</c:f>
              <c:numCache>
                <c:formatCode>General</c:formatCode>
                <c:ptCount val="13"/>
                <c:pt idx="0">
                  <c:v>0.03</c:v>
                </c:pt>
                <c:pt idx="1">
                  <c:v>2.5000000000000001E-2</c:v>
                </c:pt>
                <c:pt idx="2">
                  <c:v>1.7999999999999999E-2</c:v>
                </c:pt>
                <c:pt idx="3">
                  <c:v>8.8000000000000005E-3</c:v>
                </c:pt>
                <c:pt idx="4">
                  <c:v>5.5999999999999999E-3</c:v>
                </c:pt>
                <c:pt idx="5">
                  <c:v>3.0000000000000001E-3</c:v>
                </c:pt>
                <c:pt idx="6">
                  <c:v>2.0999999999999999E-3</c:v>
                </c:pt>
                <c:pt idx="7">
                  <c:v>1.5E-3</c:v>
                </c:pt>
                <c:pt idx="8">
                  <c:v>1E-3</c:v>
                </c:pt>
                <c:pt idx="9">
                  <c:v>7.2000000000000005E-4</c:v>
                </c:pt>
                <c:pt idx="10">
                  <c:v>5.9999999999999995E-4</c:v>
                </c:pt>
                <c:pt idx="11">
                  <c:v>4.0000000000000002E-4</c:v>
                </c:pt>
                <c:pt idx="12">
                  <c:v>2.0000000000000001E-4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C-45D2-822D-E9E39F1DACB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50659904"/>
        <c:axId val="1850659488"/>
      </c:scatterChart>
      <c:valAx>
        <c:axId val="185065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E, </a:t>
                </a:r>
                <a:r>
                  <a:rPr lang="ru-RU"/>
                  <a:t>В/м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659488"/>
        <c:crosses val="autoZero"/>
        <c:crossBetween val="midCat"/>
      </c:valAx>
      <c:valAx>
        <c:axId val="185065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D, </a:t>
                </a:r>
                <a:r>
                  <a:rPr lang="ru-RU" sz="1000" b="0" i="0" u="none" strike="noStrike" baseline="0">
                    <a:effectLst/>
                  </a:rPr>
                  <a:t>Кл/м</a:t>
                </a:r>
                <a:r>
                  <a:rPr lang="ru-RU" sz="1000" b="0" i="0" u="none" strike="noStrike" baseline="30000">
                    <a:effectLst/>
                  </a:rPr>
                  <a:t>2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65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31332863967543"/>
          <c:y val="0.35807810713080651"/>
          <c:w val="0.1744091790684438"/>
          <c:h val="0.21975550837715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ru-RU" sz="1400" b="0" i="0" u="none" strike="noStrike" baseline="0">
                <a:effectLst/>
              </a:rPr>
              <a:t>𝜀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en-US" baseline="0"/>
              <a:t>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224980498285656"/>
          <c:y val="0.14069555836098729"/>
          <c:w val="0.63345168724615153"/>
          <c:h val="0.70200985968904062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Лист1!$G$2:$G$14</c:f>
              <c:numCache>
                <c:formatCode>General</c:formatCode>
                <c:ptCount val="13"/>
                <c:pt idx="0">
                  <c:v>275000</c:v>
                </c:pt>
                <c:pt idx="1">
                  <c:v>220000</c:v>
                </c:pt>
                <c:pt idx="2">
                  <c:v>165000</c:v>
                </c:pt>
                <c:pt idx="3">
                  <c:v>110000</c:v>
                </c:pt>
                <c:pt idx="4">
                  <c:v>88000</c:v>
                </c:pt>
                <c:pt idx="5">
                  <c:v>66000</c:v>
                </c:pt>
                <c:pt idx="6">
                  <c:v>55000</c:v>
                </c:pt>
                <c:pt idx="7">
                  <c:v>44000</c:v>
                </c:pt>
                <c:pt idx="8">
                  <c:v>33000</c:v>
                </c:pt>
                <c:pt idx="9">
                  <c:v>27500</c:v>
                </c:pt>
                <c:pt idx="10">
                  <c:v>22000</c:v>
                </c:pt>
                <c:pt idx="11">
                  <c:v>16500</c:v>
                </c:pt>
                <c:pt idx="12">
                  <c:v>9680</c:v>
                </c:pt>
              </c:numCache>
            </c:numRef>
          </c:xVal>
          <c:yVal>
            <c:numRef>
              <c:f>Лист1!$I$2:$I$14</c:f>
              <c:numCache>
                <c:formatCode>General</c:formatCode>
                <c:ptCount val="13"/>
                <c:pt idx="0">
                  <c:v>12326.66</c:v>
                </c:pt>
                <c:pt idx="1">
                  <c:v>12840.27</c:v>
                </c:pt>
                <c:pt idx="2">
                  <c:v>12326.66</c:v>
                </c:pt>
                <c:pt idx="3">
                  <c:v>9039.5499999999993</c:v>
                </c:pt>
                <c:pt idx="4">
                  <c:v>7190.55</c:v>
                </c:pt>
                <c:pt idx="5">
                  <c:v>5136.1099999999997</c:v>
                </c:pt>
                <c:pt idx="6">
                  <c:v>4314.33</c:v>
                </c:pt>
                <c:pt idx="7">
                  <c:v>3852.08</c:v>
                </c:pt>
                <c:pt idx="8">
                  <c:v>3424.07</c:v>
                </c:pt>
                <c:pt idx="9">
                  <c:v>2958.4</c:v>
                </c:pt>
                <c:pt idx="10">
                  <c:v>3081.66</c:v>
                </c:pt>
                <c:pt idx="11">
                  <c:v>2739.26</c:v>
                </c:pt>
                <c:pt idx="12">
                  <c:v>2334.59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B-4CB6-8A99-B816CC8826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Лист1!$G$11:$G$14</c:f>
              <c:numCache>
                <c:formatCode>General</c:formatCode>
                <c:ptCount val="4"/>
                <c:pt idx="0">
                  <c:v>27500</c:v>
                </c:pt>
                <c:pt idx="1">
                  <c:v>22000</c:v>
                </c:pt>
                <c:pt idx="2">
                  <c:v>16500</c:v>
                </c:pt>
                <c:pt idx="3">
                  <c:v>9680</c:v>
                </c:pt>
              </c:numCache>
            </c:numRef>
          </c:xVal>
          <c:yVal>
            <c:numRef>
              <c:f>Лист1!$I$11:$I$14</c:f>
              <c:numCache>
                <c:formatCode>General</c:formatCode>
                <c:ptCount val="4"/>
                <c:pt idx="0">
                  <c:v>2958.4</c:v>
                </c:pt>
                <c:pt idx="1">
                  <c:v>3081.66</c:v>
                </c:pt>
                <c:pt idx="2">
                  <c:v>2739.26</c:v>
                </c:pt>
                <c:pt idx="3">
                  <c:v>2334.59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BB-4CB6-8A99-B816CC882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659904"/>
        <c:axId val="1850659488"/>
      </c:scatterChart>
      <c:valAx>
        <c:axId val="185065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E, </a:t>
                </a:r>
                <a:r>
                  <a:rPr lang="ru-RU"/>
                  <a:t>В/м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659488"/>
        <c:crosses val="autoZero"/>
        <c:crossBetween val="midCat"/>
      </c:valAx>
      <c:valAx>
        <c:axId val="185065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𝜀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065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6245496570687921"/>
          <c:y val="0.38052408111421582"/>
          <c:w val="0.22476590053164583"/>
          <c:h val="0.2202106269025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853440</xdr:colOff>
      <xdr:row>0</xdr:row>
      <xdr:rowOff>175260</xdr:rowOff>
    </xdr:from>
    <xdr:to>
      <xdr:col>22</xdr:col>
      <xdr:colOff>22860</xdr:colOff>
      <xdr:row>17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0513F2-C3A3-4021-BED9-8E34E8F21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14541</xdr:colOff>
      <xdr:row>17</xdr:row>
      <xdr:rowOff>190500</xdr:rowOff>
    </xdr:from>
    <xdr:to>
      <xdr:col>21</xdr:col>
      <xdr:colOff>741029</xdr:colOff>
      <xdr:row>35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DBCB47-AE4E-4D4F-8778-5EF8CD42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tabSelected="1" topLeftCell="O19" zoomScale="142" workbookViewId="0">
      <selection activeCell="W36" sqref="W36"/>
    </sheetView>
  </sheetViews>
  <sheetFormatPr defaultColWidth="12.6640625" defaultRowHeight="15.75" customHeight="1"/>
  <cols>
    <col min="2" max="2" width="12.44140625" customWidth="1"/>
    <col min="20" max="20" width="14.77734375" bestFit="1" customWidth="1"/>
  </cols>
  <sheetData>
    <row r="1" spans="1:29" ht="15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1" t="s">
        <v>11</v>
      </c>
      <c r="M1" s="1">
        <f>47*1000</f>
        <v>47000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6.2" thickBot="1">
      <c r="A2" s="1">
        <v>1</v>
      </c>
      <c r="B2" s="1">
        <v>17</v>
      </c>
      <c r="C2" s="1">
        <v>5</v>
      </c>
      <c r="D2" s="1">
        <v>5</v>
      </c>
      <c r="E2" s="1">
        <v>2.5</v>
      </c>
      <c r="F2" s="1">
        <v>3</v>
      </c>
      <c r="G2" s="29">
        <v>275000</v>
      </c>
      <c r="H2" s="30">
        <v>0.03</v>
      </c>
      <c r="I2" s="29">
        <v>12326.66</v>
      </c>
      <c r="J2" s="5">
        <f>$M$3*1.2*5/$M$4</f>
        <v>1.2E-2</v>
      </c>
      <c r="K2" s="6">
        <f>1/PI()*6.5/3/2.5</f>
        <v>0.27586856802595194</v>
      </c>
      <c r="L2" s="1" t="s">
        <v>12</v>
      </c>
      <c r="M2" s="1">
        <f>470*1000</f>
        <v>470000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6.2" thickBot="1">
      <c r="A3" s="1">
        <v>2</v>
      </c>
      <c r="B3" s="1">
        <v>13.6</v>
      </c>
      <c r="C3" s="1">
        <v>5</v>
      </c>
      <c r="D3" s="1">
        <v>5</v>
      </c>
      <c r="E3" s="1">
        <v>2</v>
      </c>
      <c r="F3" s="1">
        <v>2.5</v>
      </c>
      <c r="G3" s="31">
        <v>220000</v>
      </c>
      <c r="H3" s="32">
        <v>2.5000000000000001E-2</v>
      </c>
      <c r="I3" s="31">
        <v>12840.27</v>
      </c>
      <c r="J3" s="5"/>
      <c r="K3" s="4"/>
      <c r="L3" s="1" t="s">
        <v>13</v>
      </c>
      <c r="M3" s="1">
        <f>1/1000000</f>
        <v>9.9999999999999995E-7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6.2" thickBot="1">
      <c r="A4" s="1">
        <v>3</v>
      </c>
      <c r="B4" s="1">
        <v>10</v>
      </c>
      <c r="C4" s="1">
        <v>5</v>
      </c>
      <c r="D4" s="1">
        <v>5</v>
      </c>
      <c r="E4" s="1">
        <v>1.5</v>
      </c>
      <c r="F4" s="1">
        <v>1.8</v>
      </c>
      <c r="G4" s="31">
        <v>165000</v>
      </c>
      <c r="H4" s="32">
        <v>1.7999999999999999E-2</v>
      </c>
      <c r="I4" s="31">
        <v>12326.66</v>
      </c>
      <c r="J4" s="5"/>
      <c r="K4" s="4"/>
      <c r="L4" s="1" t="s">
        <v>14</v>
      </c>
      <c r="M4" s="1">
        <f>500/1000000</f>
        <v>5.0000000000000001E-4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6.2" thickBot="1">
      <c r="A5" s="1">
        <v>4</v>
      </c>
      <c r="B5" s="1">
        <v>6.8</v>
      </c>
      <c r="C5" s="1">
        <v>2</v>
      </c>
      <c r="D5" s="1">
        <v>2</v>
      </c>
      <c r="E5" s="1">
        <v>2.5</v>
      </c>
      <c r="F5" s="1">
        <v>2.2000000000000002</v>
      </c>
      <c r="G5" s="31">
        <v>110000</v>
      </c>
      <c r="H5" s="32">
        <v>8.8000000000000005E-3</v>
      </c>
      <c r="I5" s="31">
        <v>9039.5499999999993</v>
      </c>
      <c r="J5" s="5"/>
      <c r="K5" s="4"/>
      <c r="L5" s="1" t="s">
        <v>15</v>
      </c>
      <c r="M5" s="1">
        <f>0.5/1000</f>
        <v>5.0000000000000001E-4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6.2" thickBot="1">
      <c r="A6" s="1">
        <v>5</v>
      </c>
      <c r="B6" s="1">
        <v>5.4</v>
      </c>
      <c r="C6" s="1">
        <v>2</v>
      </c>
      <c r="D6" s="1">
        <v>2</v>
      </c>
      <c r="E6" s="1">
        <v>2</v>
      </c>
      <c r="F6" s="1">
        <v>1.4</v>
      </c>
      <c r="G6" s="31">
        <v>88000</v>
      </c>
      <c r="H6" s="32">
        <v>5.5999999999999999E-3</v>
      </c>
      <c r="I6" s="31">
        <v>7190.55</v>
      </c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6.2" thickBot="1">
      <c r="A7" s="1">
        <v>6</v>
      </c>
      <c r="B7" s="1">
        <v>4</v>
      </c>
      <c r="C7" s="1">
        <v>1</v>
      </c>
      <c r="D7" s="1">
        <v>0.5</v>
      </c>
      <c r="E7" s="1">
        <v>3</v>
      </c>
      <c r="F7" s="1">
        <v>3</v>
      </c>
      <c r="G7" s="31">
        <v>66000</v>
      </c>
      <c r="H7" s="32">
        <v>3.0000000000000001E-3</v>
      </c>
      <c r="I7" s="31">
        <v>5136.1099999999997</v>
      </c>
      <c r="J7" s="5"/>
      <c r="K7" s="4"/>
      <c r="L7" s="4" t="s">
        <v>16</v>
      </c>
      <c r="M7" s="4">
        <v>6.5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6.2" thickBot="1">
      <c r="A8" s="1">
        <v>7</v>
      </c>
      <c r="B8" s="1">
        <v>3.2</v>
      </c>
      <c r="C8" s="1">
        <v>1</v>
      </c>
      <c r="D8" s="1">
        <v>0.5</v>
      </c>
      <c r="E8" s="1">
        <v>2.5</v>
      </c>
      <c r="F8" s="1">
        <v>2.1</v>
      </c>
      <c r="G8" s="31">
        <v>55000</v>
      </c>
      <c r="H8" s="32">
        <v>2.0999999999999999E-3</v>
      </c>
      <c r="I8" s="31">
        <v>4314.33</v>
      </c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6.2" thickBot="1">
      <c r="A9" s="1">
        <v>8</v>
      </c>
      <c r="B9" s="1">
        <v>2.6</v>
      </c>
      <c r="C9" s="1">
        <v>1</v>
      </c>
      <c r="D9" s="1">
        <v>0.5</v>
      </c>
      <c r="E9" s="1">
        <v>2</v>
      </c>
      <c r="F9" s="1">
        <v>1.5</v>
      </c>
      <c r="G9" s="31">
        <v>44000</v>
      </c>
      <c r="H9" s="32">
        <v>1.5E-3</v>
      </c>
      <c r="I9" s="31">
        <v>3852.08</v>
      </c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6.2" thickBot="1">
      <c r="A10" s="1">
        <v>9</v>
      </c>
      <c r="B10" s="1">
        <v>2</v>
      </c>
      <c r="C10" s="1">
        <v>0.5</v>
      </c>
      <c r="D10" s="1">
        <v>0.2</v>
      </c>
      <c r="E10" s="1">
        <v>3</v>
      </c>
      <c r="F10" s="1">
        <v>2.5</v>
      </c>
      <c r="G10" s="31">
        <v>33000</v>
      </c>
      <c r="H10" s="32">
        <v>1E-3</v>
      </c>
      <c r="I10" s="31">
        <v>3424.07</v>
      </c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6.2" thickBot="1">
      <c r="A11" s="1">
        <v>10</v>
      </c>
      <c r="B11" s="1">
        <v>1.6</v>
      </c>
      <c r="C11" s="1">
        <v>0.5</v>
      </c>
      <c r="D11" s="1">
        <v>0.2</v>
      </c>
      <c r="E11" s="1">
        <v>2.5</v>
      </c>
      <c r="F11" s="1">
        <v>1.8</v>
      </c>
      <c r="G11" s="31">
        <v>27500</v>
      </c>
      <c r="H11" s="32">
        <v>7.2000000000000005E-4</v>
      </c>
      <c r="I11" s="31">
        <v>2958.4</v>
      </c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6.2" thickBot="1">
      <c r="A12" s="1">
        <v>11</v>
      </c>
      <c r="B12" s="1">
        <v>1.4</v>
      </c>
      <c r="C12" s="1">
        <v>0.5</v>
      </c>
      <c r="D12" s="1">
        <v>0.1</v>
      </c>
      <c r="E12" s="1">
        <v>2</v>
      </c>
      <c r="F12" s="1">
        <v>3</v>
      </c>
      <c r="G12" s="31">
        <v>22000</v>
      </c>
      <c r="H12" s="32">
        <v>5.9999999999999995E-4</v>
      </c>
      <c r="I12" s="31">
        <v>3081.66</v>
      </c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6.2" thickBot="1">
      <c r="A13" s="1">
        <v>12</v>
      </c>
      <c r="B13" s="1">
        <v>1</v>
      </c>
      <c r="C13" s="1">
        <v>0.5</v>
      </c>
      <c r="D13" s="1">
        <v>0.1</v>
      </c>
      <c r="E13" s="1">
        <v>1.5</v>
      </c>
      <c r="F13" s="1">
        <v>2</v>
      </c>
      <c r="G13" s="31">
        <v>16500</v>
      </c>
      <c r="H13" s="32">
        <v>4.0000000000000002E-4</v>
      </c>
      <c r="I13" s="31">
        <v>2739.26</v>
      </c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3">
        <f>E3-8*-E9-5</f>
        <v>13</v>
      </c>
      <c r="Y13" s="4"/>
      <c r="Z13" s="4"/>
      <c r="AA13" s="4"/>
      <c r="AB13" s="4"/>
      <c r="AC13" s="4"/>
    </row>
    <row r="14" spans="1:29" ht="16.2" thickBot="1">
      <c r="A14" s="1">
        <v>13</v>
      </c>
      <c r="B14" s="1">
        <v>0.6</v>
      </c>
      <c r="C14" s="1">
        <v>0.2</v>
      </c>
      <c r="D14" s="1">
        <v>0.05</v>
      </c>
      <c r="E14" s="1">
        <v>2.2000000000000002</v>
      </c>
      <c r="F14" s="1">
        <v>2</v>
      </c>
      <c r="G14" s="31">
        <v>9680</v>
      </c>
      <c r="H14" s="32">
        <v>2.0000000000000001E-4</v>
      </c>
      <c r="I14" s="31">
        <v>2334.59</v>
      </c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3">
        <f>(0.00009)/(0.00000003)</f>
        <v>3000.0000000000005</v>
      </c>
      <c r="Y14" s="4"/>
      <c r="Z14" s="4"/>
      <c r="AA14" s="4"/>
      <c r="AB14" s="4"/>
      <c r="AC14" s="4"/>
    </row>
    <row r="15" spans="1:29" ht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34">
        <f>INTERCEPT(I11:I14, G11:G14)</f>
        <v>2054.1817754025542</v>
      </c>
      <c r="U37" s="4"/>
      <c r="V37" s="4"/>
      <c r="W37" s="4"/>
      <c r="X37" s="4"/>
      <c r="Y37" s="4"/>
      <c r="Z37" s="4"/>
      <c r="AA37" s="4"/>
      <c r="AB37" s="4"/>
      <c r="AC37" s="4"/>
    </row>
    <row r="38" spans="1:29" ht="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2"/>
  <sheetViews>
    <sheetView workbookViewId="0"/>
  </sheetViews>
  <sheetFormatPr defaultColWidth="12.6640625" defaultRowHeight="15.75" customHeight="1"/>
  <cols>
    <col min="2" max="2" width="20" customWidth="1"/>
  </cols>
  <sheetData>
    <row r="1" spans="1:15">
      <c r="A1" s="24" t="s">
        <v>17</v>
      </c>
      <c r="B1" s="25"/>
      <c r="C1" s="25"/>
      <c r="E1" s="1" t="s">
        <v>1</v>
      </c>
      <c r="F1" s="1" t="s">
        <v>18</v>
      </c>
      <c r="G1" s="1" t="s">
        <v>19</v>
      </c>
      <c r="H1" s="1" t="s">
        <v>1</v>
      </c>
      <c r="I1" s="1" t="s">
        <v>18</v>
      </c>
      <c r="J1" s="1" t="s">
        <v>19</v>
      </c>
    </row>
    <row r="2" spans="1:15">
      <c r="A2" s="1" t="s">
        <v>1</v>
      </c>
      <c r="B2" s="1" t="s">
        <v>18</v>
      </c>
      <c r="C2" s="1" t="s">
        <v>19</v>
      </c>
      <c r="E2" s="26">
        <v>2.15</v>
      </c>
      <c r="F2" s="1">
        <v>2</v>
      </c>
      <c r="G2" s="1">
        <v>2</v>
      </c>
      <c r="H2" s="26">
        <v>3.15</v>
      </c>
      <c r="I2" s="1">
        <v>4</v>
      </c>
      <c r="J2" s="1">
        <v>2</v>
      </c>
      <c r="K2" s="7">
        <f t="shared" ref="K2:K46" si="0">I2-F2</f>
        <v>2</v>
      </c>
      <c r="L2" s="7">
        <f t="shared" ref="L2:L37" si="1">F11-I2</f>
        <v>2.2000000000000002</v>
      </c>
      <c r="M2" s="7">
        <f t="shared" ref="M2:N2" si="2">MIN(K2:K10)</f>
        <v>1.4</v>
      </c>
      <c r="N2" s="7">
        <f t="shared" si="2"/>
        <v>1.5999999999999996</v>
      </c>
      <c r="O2" s="7">
        <f>MIN(M:N)</f>
        <v>0.80000000000000071</v>
      </c>
    </row>
    <row r="3" spans="1:15">
      <c r="A3" s="26">
        <v>1.7</v>
      </c>
      <c r="B3" s="1">
        <v>2</v>
      </c>
      <c r="C3" s="1">
        <v>2</v>
      </c>
      <c r="E3" s="27"/>
      <c r="F3" s="1">
        <v>2.2999999999999998</v>
      </c>
      <c r="G3" s="1">
        <v>4</v>
      </c>
      <c r="H3" s="27"/>
      <c r="I3" s="1">
        <v>4</v>
      </c>
      <c r="J3" s="1">
        <v>4</v>
      </c>
      <c r="K3" s="7">
        <f t="shared" si="0"/>
        <v>1.7000000000000002</v>
      </c>
      <c r="L3" s="7">
        <f t="shared" si="1"/>
        <v>2</v>
      </c>
    </row>
    <row r="4" spans="1:15">
      <c r="A4" s="27"/>
      <c r="B4" s="1">
        <v>2.5</v>
      </c>
      <c r="C4" s="1">
        <v>6</v>
      </c>
      <c r="E4" s="27"/>
      <c r="F4" s="1">
        <v>2.4</v>
      </c>
      <c r="G4" s="1">
        <v>6</v>
      </c>
      <c r="H4" s="27"/>
      <c r="I4" s="1">
        <v>4</v>
      </c>
      <c r="J4" s="1">
        <v>6</v>
      </c>
      <c r="K4" s="7">
        <f t="shared" si="0"/>
        <v>1.6</v>
      </c>
      <c r="L4" s="7">
        <f t="shared" si="1"/>
        <v>1.9000000000000004</v>
      </c>
    </row>
    <row r="5" spans="1:15">
      <c r="A5" s="27"/>
      <c r="B5" s="1">
        <v>2.8</v>
      </c>
      <c r="C5" s="1">
        <v>10</v>
      </c>
      <c r="E5" s="27"/>
      <c r="F5" s="1">
        <v>2.4</v>
      </c>
      <c r="G5" s="1">
        <v>8</v>
      </c>
      <c r="H5" s="27"/>
      <c r="I5" s="1">
        <v>4</v>
      </c>
      <c r="J5" s="1">
        <v>8</v>
      </c>
      <c r="K5" s="7">
        <f t="shared" si="0"/>
        <v>1.6</v>
      </c>
      <c r="L5" s="7">
        <f t="shared" si="1"/>
        <v>1.5999999999999996</v>
      </c>
    </row>
    <row r="6" spans="1:15">
      <c r="A6" s="27"/>
      <c r="B6" s="1">
        <v>2.7</v>
      </c>
      <c r="C6" s="1">
        <v>14</v>
      </c>
      <c r="E6" s="27"/>
      <c r="F6" s="1">
        <v>2.5</v>
      </c>
      <c r="G6" s="1">
        <v>10</v>
      </c>
      <c r="H6" s="27"/>
      <c r="I6" s="1">
        <v>3.9</v>
      </c>
      <c r="J6" s="1">
        <v>10</v>
      </c>
      <c r="K6" s="7">
        <f t="shared" si="0"/>
        <v>1.4</v>
      </c>
      <c r="L6" s="7">
        <f t="shared" si="1"/>
        <v>1.6</v>
      </c>
    </row>
    <row r="7" spans="1:15">
      <c r="A7" s="28"/>
      <c r="B7" s="1">
        <v>2.2000000000000002</v>
      </c>
      <c r="C7" s="1">
        <v>18</v>
      </c>
      <c r="E7" s="27"/>
      <c r="F7" s="1">
        <v>2.4</v>
      </c>
      <c r="G7" s="1">
        <v>12</v>
      </c>
      <c r="H7" s="27"/>
      <c r="I7" s="1">
        <v>4</v>
      </c>
      <c r="J7" s="1">
        <v>12</v>
      </c>
      <c r="K7" s="7">
        <f t="shared" si="0"/>
        <v>1.6</v>
      </c>
      <c r="L7" s="7">
        <f t="shared" si="1"/>
        <v>1.7000000000000002</v>
      </c>
    </row>
    <row r="8" spans="1:15">
      <c r="A8" s="26">
        <v>3.7</v>
      </c>
      <c r="B8" s="1">
        <v>6.3</v>
      </c>
      <c r="C8" s="1">
        <v>2</v>
      </c>
      <c r="E8" s="27"/>
      <c r="F8" s="1">
        <v>2.2000000000000002</v>
      </c>
      <c r="G8" s="1">
        <v>14</v>
      </c>
      <c r="H8" s="27"/>
      <c r="I8" s="1">
        <v>4</v>
      </c>
      <c r="J8" s="1">
        <v>14</v>
      </c>
      <c r="K8" s="7">
        <f t="shared" si="0"/>
        <v>1.7999999999999998</v>
      </c>
      <c r="L8" s="7">
        <f t="shared" si="1"/>
        <v>1.9000000000000004</v>
      </c>
    </row>
    <row r="9" spans="1:15">
      <c r="A9" s="27"/>
      <c r="B9" s="1">
        <v>7.2</v>
      </c>
      <c r="C9" s="1">
        <v>6</v>
      </c>
      <c r="E9" s="27"/>
      <c r="F9" s="1">
        <v>2.2000000000000002</v>
      </c>
      <c r="G9" s="1">
        <v>16</v>
      </c>
      <c r="H9" s="27"/>
      <c r="I9" s="1">
        <v>4</v>
      </c>
      <c r="J9" s="1">
        <v>16</v>
      </c>
      <c r="K9" s="7">
        <f t="shared" si="0"/>
        <v>1.7999999999999998</v>
      </c>
      <c r="L9" s="7">
        <f t="shared" si="1"/>
        <v>2</v>
      </c>
    </row>
    <row r="10" spans="1:15">
      <c r="A10" s="27"/>
      <c r="B10" s="1">
        <v>7.1</v>
      </c>
      <c r="C10" s="1">
        <v>10</v>
      </c>
      <c r="E10" s="28"/>
      <c r="F10" s="1">
        <v>2</v>
      </c>
      <c r="G10" s="1">
        <v>18</v>
      </c>
      <c r="H10" s="28"/>
      <c r="I10" s="1">
        <v>4</v>
      </c>
      <c r="J10" s="1">
        <v>18</v>
      </c>
      <c r="K10" s="7">
        <f t="shared" si="0"/>
        <v>2</v>
      </c>
      <c r="L10" s="7">
        <f t="shared" si="1"/>
        <v>2.0999999999999996</v>
      </c>
    </row>
    <row r="11" spans="1:15">
      <c r="A11" s="27"/>
      <c r="B11" s="1">
        <v>7.1</v>
      </c>
      <c r="C11" s="1">
        <v>14</v>
      </c>
      <c r="E11" s="26">
        <v>4.1500000000000004</v>
      </c>
      <c r="F11" s="1">
        <v>6.2</v>
      </c>
      <c r="G11" s="1">
        <v>2</v>
      </c>
      <c r="H11" s="26">
        <v>5.15</v>
      </c>
      <c r="I11" s="1">
        <v>8.8000000000000007</v>
      </c>
      <c r="J11" s="1">
        <v>2</v>
      </c>
      <c r="K11" s="7">
        <f t="shared" si="0"/>
        <v>2.6000000000000005</v>
      </c>
      <c r="L11" s="7">
        <f t="shared" si="1"/>
        <v>2.7999999999999989</v>
      </c>
      <c r="M11" s="7">
        <f t="shared" ref="M11:N11" si="3">MIN(K11:K19)</f>
        <v>1.2999999999999998</v>
      </c>
      <c r="N11" s="7">
        <f t="shared" si="3"/>
        <v>1.0999999999999996</v>
      </c>
    </row>
    <row r="12" spans="1:15">
      <c r="A12" s="28"/>
      <c r="B12" s="1">
        <v>7.2</v>
      </c>
      <c r="C12" s="1">
        <v>18</v>
      </c>
      <c r="E12" s="27"/>
      <c r="F12" s="1">
        <v>6</v>
      </c>
      <c r="G12" s="1">
        <v>4</v>
      </c>
      <c r="H12" s="27"/>
      <c r="I12" s="1">
        <v>8.4</v>
      </c>
      <c r="J12" s="1">
        <v>4</v>
      </c>
      <c r="K12" s="7">
        <f t="shared" si="0"/>
        <v>2.4000000000000004</v>
      </c>
      <c r="L12" s="7">
        <f t="shared" si="1"/>
        <v>2.1999999999999993</v>
      </c>
    </row>
    <row r="13" spans="1:15">
      <c r="A13" s="26">
        <v>5.7</v>
      </c>
      <c r="B13" s="1">
        <v>12.3</v>
      </c>
      <c r="C13" s="1">
        <v>2</v>
      </c>
      <c r="E13" s="27"/>
      <c r="F13" s="1">
        <v>5.9</v>
      </c>
      <c r="G13" s="1">
        <v>6</v>
      </c>
      <c r="H13" s="27"/>
      <c r="I13" s="1">
        <v>7.8</v>
      </c>
      <c r="J13" s="1">
        <v>6</v>
      </c>
      <c r="K13" s="7">
        <f t="shared" si="0"/>
        <v>1.8999999999999995</v>
      </c>
      <c r="L13" s="7">
        <f t="shared" si="1"/>
        <v>1.3999999999999995</v>
      </c>
    </row>
    <row r="14" spans="1:15">
      <c r="A14" s="27"/>
      <c r="B14" s="1">
        <v>12.2</v>
      </c>
      <c r="C14" s="1">
        <v>6</v>
      </c>
      <c r="E14" s="27"/>
      <c r="F14" s="1">
        <v>5.6</v>
      </c>
      <c r="G14" s="1">
        <v>8</v>
      </c>
      <c r="H14" s="27"/>
      <c r="I14" s="1">
        <v>7.3</v>
      </c>
      <c r="J14" s="1">
        <v>8</v>
      </c>
      <c r="K14" s="7">
        <f t="shared" si="0"/>
        <v>1.7000000000000002</v>
      </c>
      <c r="L14" s="7">
        <f t="shared" si="1"/>
        <v>1.2000000000000002</v>
      </c>
    </row>
    <row r="15" spans="1:15">
      <c r="A15" s="27"/>
      <c r="B15" s="1">
        <v>12.2</v>
      </c>
      <c r="C15" s="1">
        <v>10</v>
      </c>
      <c r="E15" s="27"/>
      <c r="F15" s="1">
        <v>5.5</v>
      </c>
      <c r="G15" s="1">
        <v>10</v>
      </c>
      <c r="H15" s="27"/>
      <c r="I15" s="1">
        <v>7</v>
      </c>
      <c r="J15" s="1">
        <v>10</v>
      </c>
      <c r="K15" s="7">
        <f t="shared" si="0"/>
        <v>1.5</v>
      </c>
      <c r="L15" s="7">
        <f t="shared" si="1"/>
        <v>1.0999999999999996</v>
      </c>
    </row>
    <row r="16" spans="1:15">
      <c r="A16" s="27"/>
      <c r="B16" s="1">
        <v>12.2</v>
      </c>
      <c r="C16" s="1">
        <v>14</v>
      </c>
      <c r="E16" s="27"/>
      <c r="F16" s="1">
        <v>5.7</v>
      </c>
      <c r="G16" s="1">
        <v>12</v>
      </c>
      <c r="H16" s="27"/>
      <c r="I16" s="1">
        <v>7</v>
      </c>
      <c r="J16" s="1">
        <v>12</v>
      </c>
      <c r="K16" s="7">
        <f t="shared" si="0"/>
        <v>1.2999999999999998</v>
      </c>
      <c r="L16" s="7">
        <f t="shared" si="1"/>
        <v>1.5</v>
      </c>
    </row>
    <row r="17" spans="1:14">
      <c r="A17" s="28"/>
      <c r="B17" s="1">
        <v>12.3</v>
      </c>
      <c r="C17" s="1">
        <v>18</v>
      </c>
      <c r="E17" s="27"/>
      <c r="F17" s="1">
        <v>5.9</v>
      </c>
      <c r="G17" s="1">
        <v>14</v>
      </c>
      <c r="H17" s="27"/>
      <c r="I17" s="1">
        <v>7.5</v>
      </c>
      <c r="J17" s="1">
        <v>14</v>
      </c>
      <c r="K17" s="7">
        <f t="shared" si="0"/>
        <v>1.5999999999999996</v>
      </c>
      <c r="L17" s="7">
        <f t="shared" si="1"/>
        <v>1.6999999999999993</v>
      </c>
    </row>
    <row r="18" spans="1:14">
      <c r="A18" s="26">
        <v>7.7</v>
      </c>
      <c r="B18" s="1">
        <v>17.2</v>
      </c>
      <c r="C18" s="1">
        <v>2</v>
      </c>
      <c r="E18" s="27"/>
      <c r="F18" s="1">
        <v>6</v>
      </c>
      <c r="G18" s="1">
        <v>16</v>
      </c>
      <c r="H18" s="27"/>
      <c r="I18" s="1">
        <v>8</v>
      </c>
      <c r="J18" s="1">
        <v>16</v>
      </c>
      <c r="K18" s="7">
        <f t="shared" si="0"/>
        <v>2</v>
      </c>
      <c r="L18" s="7">
        <f t="shared" si="1"/>
        <v>2.5</v>
      </c>
    </row>
    <row r="19" spans="1:14">
      <c r="A19" s="27"/>
      <c r="B19" s="1">
        <v>17.2</v>
      </c>
      <c r="C19" s="1">
        <v>6</v>
      </c>
      <c r="E19" s="28"/>
      <c r="F19" s="1">
        <v>6.1</v>
      </c>
      <c r="G19" s="1">
        <v>18</v>
      </c>
      <c r="H19" s="28"/>
      <c r="I19" s="1">
        <v>8.8000000000000007</v>
      </c>
      <c r="J19" s="1">
        <v>18</v>
      </c>
      <c r="K19" s="7">
        <f t="shared" si="0"/>
        <v>2.7000000000000011</v>
      </c>
      <c r="L19" s="7">
        <f t="shared" si="1"/>
        <v>2.6999999999999993</v>
      </c>
    </row>
    <row r="20" spans="1:14">
      <c r="A20" s="27"/>
      <c r="B20" s="1">
        <v>17.100000000000001</v>
      </c>
      <c r="C20" s="1">
        <v>10</v>
      </c>
      <c r="E20" s="26">
        <v>6.15</v>
      </c>
      <c r="F20" s="1">
        <v>11.6</v>
      </c>
      <c r="G20" s="1">
        <v>2</v>
      </c>
      <c r="H20" s="26">
        <v>7.15</v>
      </c>
      <c r="I20" s="1">
        <v>16.5</v>
      </c>
      <c r="J20" s="1">
        <v>2</v>
      </c>
      <c r="K20" s="7">
        <f t="shared" si="0"/>
        <v>4.9000000000000004</v>
      </c>
      <c r="L20" s="7">
        <f t="shared" si="1"/>
        <v>3.6000000000000014</v>
      </c>
      <c r="M20" s="7">
        <f t="shared" ref="M20:N20" si="4">MIN(K20:K28)</f>
        <v>4.9000000000000004</v>
      </c>
      <c r="N20" s="7">
        <f t="shared" si="4"/>
        <v>0.80000000000000071</v>
      </c>
    </row>
    <row r="21" spans="1:14">
      <c r="A21" s="27"/>
      <c r="B21" s="1">
        <v>17</v>
      </c>
      <c r="C21" s="1">
        <v>14</v>
      </c>
      <c r="E21" s="27"/>
      <c r="F21" s="1">
        <v>10.6</v>
      </c>
      <c r="G21" s="1">
        <v>4</v>
      </c>
      <c r="H21" s="27"/>
      <c r="I21" s="1">
        <v>17.899999999999999</v>
      </c>
      <c r="J21" s="1">
        <v>4</v>
      </c>
      <c r="K21" s="7">
        <f t="shared" si="0"/>
        <v>7.2999999999999989</v>
      </c>
      <c r="L21" s="7">
        <f t="shared" si="1"/>
        <v>3.1000000000000014</v>
      </c>
    </row>
    <row r="22" spans="1:14">
      <c r="A22" s="28"/>
      <c r="B22" s="1">
        <v>18</v>
      </c>
      <c r="C22" s="1">
        <v>18</v>
      </c>
      <c r="E22" s="27"/>
      <c r="F22" s="1">
        <v>9.1999999999999993</v>
      </c>
      <c r="G22" s="1">
        <v>6</v>
      </c>
      <c r="H22" s="27"/>
      <c r="I22" s="1">
        <v>19.899999999999999</v>
      </c>
      <c r="J22" s="1">
        <v>6</v>
      </c>
      <c r="K22" s="7">
        <f t="shared" si="0"/>
        <v>10.7</v>
      </c>
      <c r="L22" s="7">
        <f t="shared" si="1"/>
        <v>1.9000000000000021</v>
      </c>
    </row>
    <row r="23" spans="1:14">
      <c r="A23" s="26">
        <v>9.6999999999999993</v>
      </c>
      <c r="B23" s="1">
        <v>22.1</v>
      </c>
      <c r="C23" s="1">
        <v>2</v>
      </c>
      <c r="E23" s="27"/>
      <c r="F23" s="1">
        <v>8.5</v>
      </c>
      <c r="G23" s="1">
        <v>8</v>
      </c>
      <c r="H23" s="27"/>
      <c r="I23" s="1">
        <v>21.4</v>
      </c>
      <c r="J23" s="1">
        <v>8</v>
      </c>
      <c r="K23" s="7">
        <f t="shared" si="0"/>
        <v>12.899999999999999</v>
      </c>
      <c r="L23" s="7">
        <f t="shared" si="1"/>
        <v>1.1000000000000014</v>
      </c>
    </row>
    <row r="24" spans="1:14">
      <c r="A24" s="27"/>
      <c r="B24" s="1">
        <v>22</v>
      </c>
      <c r="C24" s="1">
        <v>6</v>
      </c>
      <c r="E24" s="27"/>
      <c r="F24" s="1">
        <v>8.1</v>
      </c>
      <c r="G24" s="1">
        <v>10</v>
      </c>
      <c r="H24" s="27"/>
      <c r="I24" s="1">
        <v>21.7</v>
      </c>
      <c r="J24" s="1">
        <v>10</v>
      </c>
      <c r="K24" s="7">
        <f t="shared" si="0"/>
        <v>13.6</v>
      </c>
      <c r="L24" s="7">
        <f t="shared" si="1"/>
        <v>0.80000000000000071</v>
      </c>
    </row>
    <row r="25" spans="1:14">
      <c r="A25" s="27"/>
      <c r="B25" s="1">
        <v>22</v>
      </c>
      <c r="C25" s="1">
        <v>10</v>
      </c>
      <c r="E25" s="27"/>
      <c r="F25" s="1">
        <v>8.5</v>
      </c>
      <c r="G25" s="1">
        <v>12</v>
      </c>
      <c r="H25" s="27"/>
      <c r="I25" s="1">
        <v>21.3</v>
      </c>
      <c r="J25" s="1">
        <v>12</v>
      </c>
      <c r="K25" s="7">
        <f t="shared" si="0"/>
        <v>12.8</v>
      </c>
      <c r="L25" s="7">
        <f t="shared" si="1"/>
        <v>0.89999999999999858</v>
      </c>
    </row>
    <row r="26" spans="1:14">
      <c r="A26" s="27"/>
      <c r="B26" s="1">
        <v>21.9</v>
      </c>
      <c r="C26" s="1">
        <v>14</v>
      </c>
      <c r="E26" s="27"/>
      <c r="F26" s="1">
        <v>9.1999999999999993</v>
      </c>
      <c r="G26" s="1">
        <v>14</v>
      </c>
      <c r="H26" s="27"/>
      <c r="I26" s="1">
        <v>20.100000000000001</v>
      </c>
      <c r="J26" s="1">
        <v>14</v>
      </c>
      <c r="K26" s="7">
        <f t="shared" si="0"/>
        <v>10.900000000000002</v>
      </c>
      <c r="L26" s="7">
        <f t="shared" si="1"/>
        <v>1.7999999999999972</v>
      </c>
    </row>
    <row r="27" spans="1:14">
      <c r="A27" s="28"/>
      <c r="B27" s="1">
        <v>21.9</v>
      </c>
      <c r="C27" s="1">
        <v>18</v>
      </c>
      <c r="E27" s="27"/>
      <c r="F27" s="1">
        <v>10.5</v>
      </c>
      <c r="G27" s="1">
        <v>16</v>
      </c>
      <c r="H27" s="27"/>
      <c r="I27" s="1">
        <v>18.100000000000001</v>
      </c>
      <c r="J27" s="1">
        <v>16</v>
      </c>
      <c r="K27" s="7">
        <f t="shared" si="0"/>
        <v>7.6000000000000014</v>
      </c>
      <c r="L27" s="7">
        <f t="shared" si="1"/>
        <v>2.7999999999999972</v>
      </c>
    </row>
    <row r="28" spans="1:14">
      <c r="A28" s="26">
        <v>11.7</v>
      </c>
      <c r="B28" s="1">
        <v>27</v>
      </c>
      <c r="C28" s="1">
        <v>2</v>
      </c>
      <c r="E28" s="28"/>
      <c r="F28" s="1">
        <v>11.5</v>
      </c>
      <c r="G28" s="1">
        <v>18</v>
      </c>
      <c r="H28" s="28"/>
      <c r="I28" s="1">
        <v>17</v>
      </c>
      <c r="J28" s="1">
        <v>18</v>
      </c>
      <c r="K28" s="7">
        <f t="shared" si="0"/>
        <v>5.5</v>
      </c>
      <c r="L28" s="7">
        <f t="shared" si="1"/>
        <v>3</v>
      </c>
    </row>
    <row r="29" spans="1:14">
      <c r="A29" s="27"/>
      <c r="B29" s="1">
        <v>26.4</v>
      </c>
      <c r="C29" s="1">
        <v>6</v>
      </c>
      <c r="E29" s="26">
        <v>8.15</v>
      </c>
      <c r="F29" s="1">
        <v>20.100000000000001</v>
      </c>
      <c r="G29" s="1">
        <v>2</v>
      </c>
      <c r="H29" s="26">
        <v>9.15</v>
      </c>
      <c r="I29" s="1">
        <v>22.8</v>
      </c>
      <c r="J29" s="1">
        <v>2</v>
      </c>
      <c r="K29" s="7">
        <f t="shared" si="0"/>
        <v>2.6999999999999993</v>
      </c>
      <c r="L29" s="7">
        <f t="shared" si="1"/>
        <v>2.0999999999999979</v>
      </c>
      <c r="M29" s="7">
        <f t="shared" ref="M29:N29" si="5">MIN(K29:K37)</f>
        <v>1.1000000000000014</v>
      </c>
      <c r="N29" s="7">
        <f t="shared" si="5"/>
        <v>1.5</v>
      </c>
    </row>
    <row r="30" spans="1:14">
      <c r="A30" s="27"/>
      <c r="B30" s="1">
        <v>26.2</v>
      </c>
      <c r="C30" s="1">
        <v>10</v>
      </c>
      <c r="E30" s="27"/>
      <c r="F30" s="1">
        <v>21</v>
      </c>
      <c r="G30" s="1">
        <v>4</v>
      </c>
      <c r="H30" s="27"/>
      <c r="I30" s="1">
        <v>22.9</v>
      </c>
      <c r="J30" s="1">
        <v>4</v>
      </c>
      <c r="K30" s="7">
        <f t="shared" si="0"/>
        <v>1.8999999999999986</v>
      </c>
      <c r="L30" s="7">
        <f t="shared" si="1"/>
        <v>2.1000000000000014</v>
      </c>
    </row>
    <row r="31" spans="1:14">
      <c r="A31" s="27"/>
      <c r="B31" s="1">
        <v>26.1</v>
      </c>
      <c r="C31" s="1">
        <v>14</v>
      </c>
      <c r="E31" s="27"/>
      <c r="F31" s="1">
        <v>21.8</v>
      </c>
      <c r="G31" s="1">
        <v>6</v>
      </c>
      <c r="H31" s="27"/>
      <c r="I31" s="1">
        <v>23.2</v>
      </c>
      <c r="J31" s="1">
        <v>6</v>
      </c>
      <c r="K31" s="7">
        <f t="shared" si="0"/>
        <v>1.3999999999999986</v>
      </c>
      <c r="L31" s="7">
        <f t="shared" si="1"/>
        <v>1.8000000000000007</v>
      </c>
    </row>
    <row r="32" spans="1:14">
      <c r="A32" s="28"/>
      <c r="B32" s="1">
        <v>26.7</v>
      </c>
      <c r="C32" s="1">
        <v>18</v>
      </c>
      <c r="E32" s="27"/>
      <c r="F32" s="8">
        <v>22.5</v>
      </c>
      <c r="G32" s="1">
        <v>8</v>
      </c>
      <c r="H32" s="27"/>
      <c r="I32" s="8">
        <v>23.6</v>
      </c>
      <c r="J32" s="1">
        <v>8</v>
      </c>
      <c r="K32" s="9">
        <f t="shared" si="0"/>
        <v>1.1000000000000014</v>
      </c>
      <c r="L32" s="7">
        <f t="shared" si="1"/>
        <v>1.5999999999999979</v>
      </c>
    </row>
    <row r="33" spans="1:13">
      <c r="E33" s="27"/>
      <c r="F33" s="1">
        <v>22.5</v>
      </c>
      <c r="G33" s="1">
        <v>10</v>
      </c>
      <c r="H33" s="27"/>
      <c r="I33" s="1">
        <v>23.7</v>
      </c>
      <c r="J33" s="1">
        <v>10</v>
      </c>
      <c r="K33" s="7">
        <f t="shared" si="0"/>
        <v>1.1999999999999993</v>
      </c>
      <c r="L33" s="7">
        <f t="shared" si="1"/>
        <v>1.6000000000000014</v>
      </c>
    </row>
    <row r="34" spans="1:13">
      <c r="E34" s="27"/>
      <c r="F34" s="1">
        <v>22.2</v>
      </c>
      <c r="G34" s="1">
        <v>12</v>
      </c>
      <c r="H34" s="27"/>
      <c r="I34" s="1">
        <v>23.6</v>
      </c>
      <c r="J34" s="1">
        <v>12</v>
      </c>
      <c r="K34" s="7">
        <f t="shared" si="0"/>
        <v>1.4000000000000021</v>
      </c>
      <c r="L34" s="7">
        <f t="shared" si="1"/>
        <v>1.5</v>
      </c>
    </row>
    <row r="35" spans="1:13">
      <c r="A35" s="7">
        <f>(A28-14)</f>
        <v>-2.3000000000000007</v>
      </c>
      <c r="B35" s="10">
        <f>(30-B30)/100</f>
        <v>3.8000000000000006E-2</v>
      </c>
      <c r="C35" s="3" t="e">
        <f t="shared" ref="C35:C36" ca="1" si="6">-8.85*POW(10, -12)</f>
        <v>#NAME?</v>
      </c>
      <c r="E35" s="27"/>
      <c r="F35" s="1">
        <v>21.9</v>
      </c>
      <c r="G35" s="1">
        <v>14</v>
      </c>
      <c r="H35" s="27"/>
      <c r="I35" s="1">
        <v>23.5</v>
      </c>
      <c r="J35" s="1">
        <v>14</v>
      </c>
      <c r="K35" s="7">
        <f t="shared" si="0"/>
        <v>1.6000000000000014</v>
      </c>
      <c r="L35" s="7">
        <f t="shared" si="1"/>
        <v>1.5</v>
      </c>
    </row>
    <row r="36" spans="1:13">
      <c r="A36" s="7">
        <f>(0-A3)</f>
        <v>-1.7</v>
      </c>
      <c r="B36" s="10">
        <f>(B5-0)/100</f>
        <v>2.7999999999999997E-2</v>
      </c>
      <c r="C36" s="3" t="e">
        <f t="shared" ca="1" si="6"/>
        <v>#NAME?</v>
      </c>
      <c r="E36" s="27"/>
      <c r="F36" s="1">
        <v>20.9</v>
      </c>
      <c r="G36" s="1">
        <v>16</v>
      </c>
      <c r="H36" s="27"/>
      <c r="I36" s="1">
        <v>22.8</v>
      </c>
      <c r="J36" s="1">
        <v>16</v>
      </c>
      <c r="K36" s="7">
        <f t="shared" si="0"/>
        <v>1.9000000000000021</v>
      </c>
      <c r="L36" s="7">
        <f t="shared" si="1"/>
        <v>2.0999999999999979</v>
      </c>
    </row>
    <row r="37" spans="1:13">
      <c r="B37" s="11" t="e">
        <f t="shared" ref="B37:B38" ca="1" si="7">C35*A35/B35*POWER(10,9)</f>
        <v>#NAME?</v>
      </c>
      <c r="E37" s="28"/>
      <c r="F37" s="1">
        <v>20</v>
      </c>
      <c r="G37" s="1">
        <v>18</v>
      </c>
      <c r="H37" s="28"/>
      <c r="I37" s="1">
        <v>22.5</v>
      </c>
      <c r="J37" s="1">
        <v>18</v>
      </c>
      <c r="K37" s="7">
        <f t="shared" si="0"/>
        <v>2.5</v>
      </c>
      <c r="L37" s="7">
        <f t="shared" si="1"/>
        <v>2.1999999999999993</v>
      </c>
    </row>
    <row r="38" spans="1:13">
      <c r="B38" s="11" t="e">
        <f t="shared" ca="1" si="7"/>
        <v>#NAME?</v>
      </c>
      <c r="E38" s="26">
        <v>10.15</v>
      </c>
      <c r="F38" s="1">
        <v>24.9</v>
      </c>
      <c r="G38" s="1">
        <v>2</v>
      </c>
      <c r="H38" s="26">
        <v>11.15</v>
      </c>
      <c r="I38" s="1">
        <v>27</v>
      </c>
      <c r="J38" s="1">
        <v>2</v>
      </c>
      <c r="K38" s="7">
        <f t="shared" si="0"/>
        <v>2.1000000000000014</v>
      </c>
      <c r="M38" s="7">
        <f>MIN(K38:K46)</f>
        <v>1.3000000000000007</v>
      </c>
    </row>
    <row r="39" spans="1:13">
      <c r="E39" s="27"/>
      <c r="F39" s="1">
        <v>25</v>
      </c>
      <c r="G39" s="1">
        <v>4</v>
      </c>
      <c r="H39" s="27"/>
      <c r="I39" s="1">
        <v>26.7</v>
      </c>
      <c r="J39" s="1">
        <v>4</v>
      </c>
      <c r="K39" s="7">
        <f t="shared" si="0"/>
        <v>1.6999999999999993</v>
      </c>
    </row>
    <row r="40" spans="1:13">
      <c r="E40" s="27"/>
      <c r="F40" s="1">
        <v>25</v>
      </c>
      <c r="G40" s="1">
        <v>6</v>
      </c>
      <c r="H40" s="27"/>
      <c r="I40" s="1">
        <v>26.6</v>
      </c>
      <c r="J40" s="1">
        <v>6</v>
      </c>
      <c r="K40" s="7">
        <f t="shared" si="0"/>
        <v>1.6000000000000014</v>
      </c>
    </row>
    <row r="41" spans="1:13">
      <c r="E41" s="27"/>
      <c r="F41" s="1">
        <v>25.2</v>
      </c>
      <c r="G41" s="1">
        <v>8</v>
      </c>
      <c r="H41" s="27"/>
      <c r="I41" s="1">
        <v>26.5</v>
      </c>
      <c r="J41" s="1">
        <v>8</v>
      </c>
      <c r="K41" s="7">
        <f t="shared" si="0"/>
        <v>1.3000000000000007</v>
      </c>
    </row>
    <row r="42" spans="1:13">
      <c r="E42" s="27"/>
      <c r="F42" s="1">
        <v>25.3</v>
      </c>
      <c r="G42" s="1">
        <v>10</v>
      </c>
      <c r="H42" s="27"/>
      <c r="I42" s="1">
        <v>26.6</v>
      </c>
      <c r="J42" s="1">
        <v>10</v>
      </c>
      <c r="K42" s="7">
        <f t="shared" si="0"/>
        <v>1.3000000000000007</v>
      </c>
    </row>
    <row r="43" spans="1:13">
      <c r="E43" s="27"/>
      <c r="F43" s="1">
        <v>25.1</v>
      </c>
      <c r="G43" s="1">
        <v>12</v>
      </c>
      <c r="H43" s="27"/>
      <c r="I43" s="1">
        <v>26.5</v>
      </c>
      <c r="J43" s="1">
        <v>12</v>
      </c>
      <c r="K43" s="7">
        <f t="shared" si="0"/>
        <v>1.3999999999999986</v>
      </c>
    </row>
    <row r="44" spans="1:13">
      <c r="E44" s="27"/>
      <c r="F44" s="1">
        <v>25</v>
      </c>
      <c r="G44" s="1">
        <v>14</v>
      </c>
      <c r="H44" s="27"/>
      <c r="I44" s="1">
        <v>26.5</v>
      </c>
      <c r="J44" s="1">
        <v>14</v>
      </c>
      <c r="K44" s="7">
        <f t="shared" si="0"/>
        <v>1.5</v>
      </c>
    </row>
    <row r="45" spans="1:13">
      <c r="E45" s="27"/>
      <c r="F45" s="1">
        <v>24.9</v>
      </c>
      <c r="G45" s="1">
        <v>16</v>
      </c>
      <c r="H45" s="27"/>
      <c r="I45" s="1">
        <v>26.7</v>
      </c>
      <c r="J45" s="1">
        <v>16</v>
      </c>
      <c r="K45" s="7">
        <f t="shared" si="0"/>
        <v>1.8000000000000007</v>
      </c>
    </row>
    <row r="46" spans="1:13">
      <c r="E46" s="28"/>
      <c r="F46" s="1">
        <v>24.7</v>
      </c>
      <c r="G46" s="1">
        <v>18</v>
      </c>
      <c r="H46" s="28"/>
      <c r="I46" s="1">
        <v>26.7</v>
      </c>
      <c r="J46" s="1">
        <v>18</v>
      </c>
      <c r="K46" s="7">
        <f t="shared" si="0"/>
        <v>2</v>
      </c>
    </row>
    <row r="47" spans="1:13">
      <c r="E47" s="4"/>
      <c r="F47" s="4"/>
      <c r="G47" s="4"/>
    </row>
    <row r="48" spans="1:13">
      <c r="E48" s="24"/>
      <c r="F48" s="4"/>
      <c r="G48" s="4"/>
    </row>
    <row r="49" spans="5:7">
      <c r="E49" s="25"/>
      <c r="F49" s="4"/>
      <c r="G49" s="4"/>
    </row>
    <row r="50" spans="5:7">
      <c r="E50" s="25"/>
      <c r="F50" s="4"/>
      <c r="G50" s="4"/>
    </row>
    <row r="51" spans="5:7">
      <c r="E51" s="25"/>
      <c r="F51" s="4"/>
      <c r="G51" s="4"/>
    </row>
    <row r="52" spans="5:7">
      <c r="E52" s="25"/>
      <c r="F52" s="4"/>
      <c r="G52" s="4"/>
    </row>
    <row r="53" spans="5:7">
      <c r="E53" s="25"/>
      <c r="F53" s="4"/>
      <c r="G53" s="4"/>
    </row>
    <row r="54" spans="5:7">
      <c r="E54" s="25"/>
      <c r="F54" s="4"/>
      <c r="G54" s="4"/>
    </row>
    <row r="55" spans="5:7">
      <c r="E55" s="25"/>
      <c r="F55" s="4"/>
      <c r="G55" s="4"/>
    </row>
    <row r="56" spans="5:7">
      <c r="E56" s="25"/>
      <c r="F56" s="4"/>
      <c r="G56" s="4"/>
    </row>
    <row r="57" spans="5:7">
      <c r="E57" s="24"/>
      <c r="F57" s="4"/>
      <c r="G57" s="4"/>
    </row>
    <row r="58" spans="5:7">
      <c r="E58" s="25"/>
      <c r="F58" s="4"/>
      <c r="G58" s="4"/>
    </row>
    <row r="59" spans="5:7">
      <c r="E59" s="25"/>
      <c r="F59" s="4"/>
      <c r="G59" s="4"/>
    </row>
    <row r="60" spans="5:7">
      <c r="E60" s="25"/>
      <c r="F60" s="4"/>
      <c r="G60" s="4"/>
    </row>
    <row r="61" spans="5:7">
      <c r="E61" s="25"/>
      <c r="F61" s="4"/>
      <c r="G61" s="4"/>
    </row>
    <row r="62" spans="5:7">
      <c r="E62" s="25"/>
      <c r="F62" s="4"/>
      <c r="G62" s="4"/>
    </row>
    <row r="63" spans="5:7">
      <c r="E63" s="25"/>
      <c r="F63" s="4"/>
      <c r="G63" s="4"/>
    </row>
    <row r="64" spans="5:7">
      <c r="E64" s="25"/>
      <c r="F64" s="4"/>
      <c r="G64" s="4"/>
    </row>
    <row r="65" spans="5:7">
      <c r="E65" s="25"/>
      <c r="F65" s="4"/>
      <c r="G65" s="4"/>
    </row>
    <row r="66" spans="5:7">
      <c r="E66" s="24"/>
      <c r="F66" s="4"/>
      <c r="G66" s="4"/>
    </row>
    <row r="67" spans="5:7">
      <c r="E67" s="25"/>
      <c r="F67" s="4"/>
      <c r="G67" s="4"/>
    </row>
    <row r="68" spans="5:7">
      <c r="E68" s="25"/>
      <c r="F68" s="4"/>
      <c r="G68" s="4"/>
    </row>
    <row r="69" spans="5:7">
      <c r="E69" s="25"/>
      <c r="F69" s="4"/>
      <c r="G69" s="4"/>
    </row>
    <row r="70" spans="5:7">
      <c r="E70" s="25"/>
      <c r="F70" s="4"/>
      <c r="G70" s="4"/>
    </row>
    <row r="71" spans="5:7">
      <c r="E71" s="25"/>
      <c r="F71" s="4"/>
      <c r="G71" s="4"/>
    </row>
    <row r="72" spans="5:7">
      <c r="E72" s="25"/>
      <c r="F72" s="4"/>
      <c r="G72" s="4"/>
    </row>
    <row r="73" spans="5:7">
      <c r="E73" s="25"/>
      <c r="F73" s="4"/>
      <c r="G73" s="4"/>
    </row>
    <row r="74" spans="5:7">
      <c r="E74" s="25"/>
      <c r="F74" s="4"/>
      <c r="G74" s="4"/>
    </row>
    <row r="75" spans="5:7">
      <c r="E75" s="24"/>
      <c r="F75" s="4"/>
      <c r="G75" s="4"/>
    </row>
    <row r="76" spans="5:7">
      <c r="E76" s="25"/>
      <c r="F76" s="4"/>
      <c r="G76" s="4"/>
    </row>
    <row r="77" spans="5:7">
      <c r="E77" s="25"/>
      <c r="F77" s="4"/>
      <c r="G77" s="4"/>
    </row>
    <row r="78" spans="5:7">
      <c r="E78" s="25"/>
      <c r="F78" s="4"/>
      <c r="G78" s="4"/>
    </row>
    <row r="79" spans="5:7">
      <c r="E79" s="25"/>
      <c r="F79" s="4"/>
      <c r="G79" s="4"/>
    </row>
    <row r="80" spans="5:7">
      <c r="E80" s="25"/>
      <c r="F80" s="4"/>
      <c r="G80" s="4"/>
    </row>
    <row r="81" spans="5:7">
      <c r="E81" s="25"/>
      <c r="F81" s="4"/>
      <c r="G81" s="4"/>
    </row>
    <row r="82" spans="5:7">
      <c r="E82" s="25"/>
      <c r="F82" s="4"/>
      <c r="G82" s="4"/>
    </row>
    <row r="83" spans="5:7">
      <c r="E83" s="25"/>
      <c r="F83" s="4"/>
      <c r="G83" s="4"/>
    </row>
    <row r="84" spans="5:7">
      <c r="E84" s="24"/>
      <c r="F84" s="4"/>
      <c r="G84" s="4"/>
    </row>
    <row r="85" spans="5:7">
      <c r="E85" s="25"/>
      <c r="F85" s="4"/>
      <c r="G85" s="4"/>
    </row>
    <row r="86" spans="5:7">
      <c r="E86" s="25"/>
      <c r="F86" s="4"/>
      <c r="G86" s="4"/>
    </row>
    <row r="87" spans="5:7">
      <c r="E87" s="25"/>
      <c r="F87" s="4"/>
      <c r="G87" s="4"/>
    </row>
    <row r="88" spans="5:7">
      <c r="E88" s="25"/>
      <c r="F88" s="4"/>
      <c r="G88" s="4"/>
    </row>
    <row r="89" spans="5:7">
      <c r="E89" s="25"/>
      <c r="F89" s="4"/>
      <c r="G89" s="4"/>
    </row>
    <row r="90" spans="5:7">
      <c r="E90" s="25"/>
      <c r="F90" s="4"/>
      <c r="G90" s="4"/>
    </row>
    <row r="91" spans="5:7">
      <c r="E91" s="25"/>
      <c r="F91" s="4"/>
      <c r="G91" s="4"/>
    </row>
    <row r="92" spans="5:7">
      <c r="E92" s="25"/>
      <c r="F92" s="4"/>
      <c r="G92" s="4"/>
    </row>
  </sheetData>
  <mergeCells count="22">
    <mergeCell ref="H20:H28"/>
    <mergeCell ref="A23:A27"/>
    <mergeCell ref="A28:A32"/>
    <mergeCell ref="H29:H37"/>
    <mergeCell ref="E66:E74"/>
    <mergeCell ref="E75:E83"/>
    <mergeCell ref="E84:E92"/>
    <mergeCell ref="A13:A17"/>
    <mergeCell ref="A18:A22"/>
    <mergeCell ref="E20:E28"/>
    <mergeCell ref="E29:E37"/>
    <mergeCell ref="E38:E46"/>
    <mergeCell ref="H38:H46"/>
    <mergeCell ref="E48:E56"/>
    <mergeCell ref="E57:E65"/>
    <mergeCell ref="A1:C1"/>
    <mergeCell ref="E2:E10"/>
    <mergeCell ref="H2:H10"/>
    <mergeCell ref="A3:A7"/>
    <mergeCell ref="A8:A12"/>
    <mergeCell ref="E11:E19"/>
    <mergeCell ref="H11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2"/>
  <sheetViews>
    <sheetView workbookViewId="0"/>
  </sheetViews>
  <sheetFormatPr defaultColWidth="12.6640625" defaultRowHeight="15.75" customHeight="1"/>
  <cols>
    <col min="8" max="8" width="21.33203125" customWidth="1"/>
    <col min="10" max="10" width="30.109375" customWidth="1"/>
    <col min="11" max="11" width="16" customWidth="1"/>
    <col min="12" max="12" width="23.21875" customWidth="1"/>
    <col min="15" max="15" width="32.6640625" customWidth="1"/>
  </cols>
  <sheetData>
    <row r="1" spans="1:29" ht="15.75" customHeight="1">
      <c r="A1" s="12"/>
      <c r="B1" s="12" t="s">
        <v>20</v>
      </c>
      <c r="C1" s="13" t="s">
        <v>21</v>
      </c>
      <c r="D1" s="14" t="s">
        <v>22</v>
      </c>
      <c r="E1" s="15" t="s">
        <v>23</v>
      </c>
      <c r="F1" s="4" t="s">
        <v>24</v>
      </c>
      <c r="G1" s="16" t="s">
        <v>25</v>
      </c>
      <c r="H1" s="14" t="s">
        <v>26</v>
      </c>
      <c r="I1" s="13" t="s">
        <v>27</v>
      </c>
      <c r="J1" s="14" t="s">
        <v>28</v>
      </c>
      <c r="K1" s="14" t="s">
        <v>29</v>
      </c>
      <c r="L1" s="13" t="s">
        <v>30</v>
      </c>
      <c r="M1" s="13" t="s">
        <v>31</v>
      </c>
      <c r="N1" s="13" t="s">
        <v>32</v>
      </c>
      <c r="O1" s="13" t="s">
        <v>33</v>
      </c>
      <c r="P1" s="13" t="s">
        <v>31</v>
      </c>
      <c r="Q1" s="13" t="s">
        <v>34</v>
      </c>
      <c r="R1" s="13" t="s">
        <v>35</v>
      </c>
      <c r="S1" s="13" t="s">
        <v>26</v>
      </c>
      <c r="T1" s="13" t="s">
        <v>36</v>
      </c>
      <c r="U1" s="17"/>
      <c r="V1" s="17"/>
      <c r="W1" s="17"/>
      <c r="X1" s="17"/>
      <c r="Y1" s="17"/>
      <c r="Z1" s="17"/>
      <c r="AA1" s="17"/>
      <c r="AB1" s="17"/>
      <c r="AC1" s="17"/>
    </row>
    <row r="2" spans="1:29" ht="15.75" customHeight="1">
      <c r="A2" s="12">
        <v>10</v>
      </c>
      <c r="B2" s="12">
        <v>10.199999999999999</v>
      </c>
      <c r="C2" s="13">
        <v>12.4</v>
      </c>
      <c r="D2" s="14">
        <v>11.5</v>
      </c>
      <c r="E2" s="18">
        <f t="shared" ref="E2:E15" si="0">AVERAGE(B2:D2)</f>
        <v>11.366666666666667</v>
      </c>
      <c r="F2" s="19">
        <f t="shared" ref="F2:F15" si="1">SIN(A2*2*PI()/360)/SIN((160-A2)*2*PI()/360)</f>
        <v>0.34729635533386072</v>
      </c>
      <c r="G2" s="19">
        <f t="shared" ref="G2:G15" si="2">4*PI()*10^(-7)*(4/5)^(3/2)*(100*E2*10^(-3)/0.15)*10^(6)</f>
        <v>6.8137580751214593</v>
      </c>
      <c r="H2" s="20">
        <f>SUM(G2:G15)</f>
        <v>309.67631275141457</v>
      </c>
      <c r="I2" s="13">
        <v>22.478000000000002</v>
      </c>
      <c r="J2" s="14">
        <v>-0.51100000000000001</v>
      </c>
      <c r="K2" s="20">
        <f t="shared" ref="K2:K15" si="3">$I$2*F2+$J$2</f>
        <v>7.2955274751945218</v>
      </c>
      <c r="L2" s="21">
        <f>(G2-K2)</f>
        <v>-0.48176940007306257</v>
      </c>
      <c r="M2" s="21">
        <f t="shared" ref="M2:M15" si="4">L2*L2</f>
        <v>0.23210175484675863</v>
      </c>
      <c r="N2" s="21">
        <f>AVERAGE(F2:F15)</f>
        <v>1.0068135222706163</v>
      </c>
      <c r="O2" s="21">
        <f t="shared" ref="O2:O15" si="5">F2-$M$2</f>
        <v>0.11519460048710209</v>
      </c>
      <c r="P2" s="21">
        <f t="shared" ref="P2:P15" si="6">O2*O2</f>
        <v>1.3269795981383061E-2</v>
      </c>
      <c r="Q2" s="21">
        <f>SUM(P2:P15)</f>
        <v>10.537571597815178</v>
      </c>
      <c r="R2" s="17">
        <f>12*Q2</f>
        <v>126.45085917378213</v>
      </c>
      <c r="S2" s="21">
        <f>SUM(M2:M15)</f>
        <v>11.846832004113672</v>
      </c>
      <c r="T2" s="17">
        <f>SQRT(S2/R2)</f>
        <v>0.30608371420054348</v>
      </c>
      <c r="U2" s="17"/>
      <c r="V2" s="17"/>
      <c r="W2" s="17"/>
      <c r="X2" s="17"/>
      <c r="Y2" s="17"/>
      <c r="Z2" s="17"/>
      <c r="AA2" s="17"/>
      <c r="AB2" s="17"/>
      <c r="AC2" s="17"/>
    </row>
    <row r="3" spans="1:29" ht="15.75" customHeight="1">
      <c r="A3" s="12">
        <v>20</v>
      </c>
      <c r="B3" s="12">
        <v>18.399999999999999</v>
      </c>
      <c r="C3" s="13">
        <v>17.7</v>
      </c>
      <c r="D3" s="14">
        <v>18.899999999999999</v>
      </c>
      <c r="E3" s="18">
        <f t="shared" si="0"/>
        <v>18.333333333333332</v>
      </c>
      <c r="F3" s="19">
        <f t="shared" si="1"/>
        <v>0.53208888623795592</v>
      </c>
      <c r="G3" s="19">
        <f t="shared" si="2"/>
        <v>10.98993237922816</v>
      </c>
      <c r="H3" s="14"/>
      <c r="I3" s="17"/>
      <c r="J3" s="14"/>
      <c r="K3" s="20">
        <f t="shared" si="3"/>
        <v>11.449293984856775</v>
      </c>
      <c r="L3" s="21">
        <f t="shared" ref="L3:L15" si="7">G3-K3</f>
        <v>-0.45936160562861517</v>
      </c>
      <c r="M3" s="21">
        <f t="shared" si="4"/>
        <v>0.21101308472569938</v>
      </c>
      <c r="N3" s="17"/>
      <c r="O3" s="21">
        <f t="shared" si="5"/>
        <v>0.29998713139119726</v>
      </c>
      <c r="P3" s="21">
        <f t="shared" si="6"/>
        <v>8.9992279000319447E-2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 customHeight="1">
      <c r="A4" s="12">
        <v>30</v>
      </c>
      <c r="B4" s="12">
        <v>22.6</v>
      </c>
      <c r="C4" s="13">
        <v>21.8</v>
      </c>
      <c r="D4" s="14">
        <v>22.9</v>
      </c>
      <c r="E4" s="18">
        <f t="shared" si="0"/>
        <v>22.433333333333337</v>
      </c>
      <c r="F4" s="19">
        <f t="shared" si="1"/>
        <v>0.65270364466613928</v>
      </c>
      <c r="G4" s="19">
        <f t="shared" si="2"/>
        <v>13.447680893128279</v>
      </c>
      <c r="H4" s="14"/>
      <c r="I4" s="17"/>
      <c r="J4" s="14"/>
      <c r="K4" s="20">
        <f t="shared" si="3"/>
        <v>14.160472524805481</v>
      </c>
      <c r="L4" s="21">
        <f t="shared" si="7"/>
        <v>-0.71279163167720228</v>
      </c>
      <c r="M4" s="21">
        <f t="shared" si="4"/>
        <v>0.5080719101890484</v>
      </c>
      <c r="N4" s="17"/>
      <c r="O4" s="21">
        <f t="shared" si="5"/>
        <v>0.42060188981938063</v>
      </c>
      <c r="P4" s="21">
        <f t="shared" si="6"/>
        <v>0.17690594971963439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15.75" customHeight="1">
      <c r="A5" s="12">
        <v>40</v>
      </c>
      <c r="B5" s="12">
        <v>27.3</v>
      </c>
      <c r="C5" s="13">
        <v>27</v>
      </c>
      <c r="D5" s="14">
        <v>26.7</v>
      </c>
      <c r="E5" s="18">
        <f t="shared" si="0"/>
        <v>27</v>
      </c>
      <c r="F5" s="19">
        <f t="shared" si="1"/>
        <v>0.74222719896855904</v>
      </c>
      <c r="G5" s="19">
        <f t="shared" si="2"/>
        <v>16.185173140317836</v>
      </c>
      <c r="H5" s="14"/>
      <c r="I5" s="17"/>
      <c r="J5" s="14"/>
      <c r="K5" s="20">
        <f t="shared" si="3"/>
        <v>16.17278297841527</v>
      </c>
      <c r="L5" s="21">
        <f t="shared" si="7"/>
        <v>1.2390161902565922E-2</v>
      </c>
      <c r="M5" s="21">
        <f t="shared" si="4"/>
        <v>1.5351611197179598E-4</v>
      </c>
      <c r="N5" s="17"/>
      <c r="O5" s="21">
        <f t="shared" si="5"/>
        <v>0.51012544412180039</v>
      </c>
      <c r="P5" s="21">
        <f t="shared" si="6"/>
        <v>0.26022796874046411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15.75" customHeight="1">
      <c r="A6" s="12">
        <v>50</v>
      </c>
      <c r="B6" s="12">
        <v>29.5</v>
      </c>
      <c r="C6" s="13">
        <v>28.8</v>
      </c>
      <c r="D6" s="14">
        <v>29.1</v>
      </c>
      <c r="E6" s="18">
        <f t="shared" si="0"/>
        <v>29.133333333333336</v>
      </c>
      <c r="F6" s="19">
        <f t="shared" si="1"/>
        <v>0.81520746909590458</v>
      </c>
      <c r="G6" s="19">
        <f t="shared" si="2"/>
        <v>17.464001635355295</v>
      </c>
      <c r="H6" s="14"/>
      <c r="I6" s="17"/>
      <c r="J6" s="14"/>
      <c r="K6" s="20">
        <f t="shared" si="3"/>
        <v>17.813233490337744</v>
      </c>
      <c r="L6" s="21">
        <f t="shared" si="7"/>
        <v>-0.34923185498244891</v>
      </c>
      <c r="M6" s="21">
        <f t="shared" si="4"/>
        <v>0.12196288853448223</v>
      </c>
      <c r="N6" s="17"/>
      <c r="O6" s="21">
        <f t="shared" si="5"/>
        <v>0.58310571424914592</v>
      </c>
      <c r="P6" s="21">
        <f t="shared" si="6"/>
        <v>0.34001227399000661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15.75" customHeight="1">
      <c r="A7" s="12">
        <v>60</v>
      </c>
      <c r="B7" s="12">
        <v>31.9</v>
      </c>
      <c r="C7" s="13">
        <v>32.1</v>
      </c>
      <c r="D7" s="14">
        <v>31.9</v>
      </c>
      <c r="E7" s="18">
        <f t="shared" si="0"/>
        <v>31.966666666666669</v>
      </c>
      <c r="F7" s="19">
        <f t="shared" si="1"/>
        <v>0.87938524157181674</v>
      </c>
      <c r="G7" s="19">
        <f t="shared" si="2"/>
        <v>19.162445730326922</v>
      </c>
      <c r="H7" s="14"/>
      <c r="I7" s="17"/>
      <c r="J7" s="14"/>
      <c r="K7" s="20">
        <f t="shared" si="3"/>
        <v>19.255821460051298</v>
      </c>
      <c r="L7" s="21">
        <f t="shared" si="7"/>
        <v>-9.3375729724375134E-2</v>
      </c>
      <c r="M7" s="21">
        <f t="shared" si="4"/>
        <v>8.719026901559554E-3</v>
      </c>
      <c r="N7" s="17"/>
      <c r="O7" s="21">
        <f t="shared" si="5"/>
        <v>0.64728348672505809</v>
      </c>
      <c r="P7" s="21">
        <f t="shared" si="6"/>
        <v>0.41897591218694846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15.75" customHeight="1">
      <c r="A8" s="12">
        <v>70</v>
      </c>
      <c r="B8" s="12">
        <v>35.200000000000003</v>
      </c>
      <c r="C8" s="13">
        <v>35.299999999999997</v>
      </c>
      <c r="D8" s="14">
        <v>34.799999999999997</v>
      </c>
      <c r="E8" s="18">
        <f t="shared" si="0"/>
        <v>35.1</v>
      </c>
      <c r="F8" s="19">
        <f t="shared" si="1"/>
        <v>0.93969262078590832</v>
      </c>
      <c r="G8" s="19">
        <f t="shared" si="2"/>
        <v>21.040725082413186</v>
      </c>
      <c r="H8" s="14"/>
      <c r="I8" s="17"/>
      <c r="J8" s="14"/>
      <c r="K8" s="20">
        <f t="shared" si="3"/>
        <v>20.61141073002565</v>
      </c>
      <c r="L8" s="21">
        <f t="shared" si="7"/>
        <v>0.42931435238753579</v>
      </c>
      <c r="M8" s="21">
        <f t="shared" si="4"/>
        <v>0.18431081316592926</v>
      </c>
      <c r="N8" s="17"/>
      <c r="O8" s="21">
        <f t="shared" si="5"/>
        <v>0.70759086593914966</v>
      </c>
      <c r="P8" s="21">
        <f t="shared" si="6"/>
        <v>0.50068483356051563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5.75" customHeight="1">
      <c r="A9" s="12">
        <v>80</v>
      </c>
      <c r="B9" s="12">
        <v>37.700000000000003</v>
      </c>
      <c r="C9" s="13">
        <v>37.9</v>
      </c>
      <c r="D9" s="14">
        <v>37.799999999999997</v>
      </c>
      <c r="E9" s="18">
        <f t="shared" si="0"/>
        <v>37.799999999999997</v>
      </c>
      <c r="F9" s="19">
        <f t="shared" si="1"/>
        <v>1</v>
      </c>
      <c r="G9" s="19">
        <f t="shared" si="2"/>
        <v>22.659242396444967</v>
      </c>
      <c r="H9" s="14"/>
      <c r="I9" s="17"/>
      <c r="J9" s="14"/>
      <c r="K9" s="20">
        <f t="shared" si="3"/>
        <v>21.967000000000002</v>
      </c>
      <c r="L9" s="21">
        <f t="shared" si="7"/>
        <v>0.69224239644496421</v>
      </c>
      <c r="M9" s="21">
        <f t="shared" si="4"/>
        <v>0.47919953543586702</v>
      </c>
      <c r="N9" s="17"/>
      <c r="O9" s="21">
        <f t="shared" si="5"/>
        <v>0.76789824515324134</v>
      </c>
      <c r="P9" s="21">
        <f t="shared" si="6"/>
        <v>0.58966771490942749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5.75" customHeight="1">
      <c r="A10" s="12">
        <v>90</v>
      </c>
      <c r="B10" s="12">
        <v>39</v>
      </c>
      <c r="C10" s="13">
        <v>38.9</v>
      </c>
      <c r="D10" s="15">
        <v>38.6</v>
      </c>
      <c r="E10" s="18">
        <f t="shared" si="0"/>
        <v>38.833333333333336</v>
      </c>
      <c r="F10" s="19">
        <f t="shared" si="1"/>
        <v>1.0641777724759123</v>
      </c>
      <c r="G10" s="19">
        <f t="shared" si="2"/>
        <v>23.278674948728739</v>
      </c>
      <c r="H10" s="22"/>
      <c r="I10" s="17"/>
      <c r="J10" s="22"/>
      <c r="K10" s="20">
        <f t="shared" si="3"/>
        <v>23.409587969713559</v>
      </c>
      <c r="L10" s="21">
        <f t="shared" si="7"/>
        <v>-0.13091302098482061</v>
      </c>
      <c r="M10" s="21">
        <f t="shared" si="4"/>
        <v>1.7138219063372082E-2</v>
      </c>
      <c r="N10" s="17"/>
      <c r="O10" s="21">
        <f t="shared" si="5"/>
        <v>0.83207601762915362</v>
      </c>
      <c r="P10" s="21">
        <f t="shared" si="6"/>
        <v>0.69235049911359159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15.75" customHeight="1">
      <c r="A11" s="12">
        <v>100</v>
      </c>
      <c r="B11" s="12">
        <v>42.4</v>
      </c>
      <c r="C11" s="13">
        <v>41.9</v>
      </c>
      <c r="D11" s="15">
        <v>42</v>
      </c>
      <c r="E11" s="18">
        <f t="shared" si="0"/>
        <v>42.1</v>
      </c>
      <c r="F11" s="19">
        <f t="shared" si="1"/>
        <v>1.1371580426032577</v>
      </c>
      <c r="G11" s="19">
        <f t="shared" si="2"/>
        <v>25.236881081754845</v>
      </c>
      <c r="H11" s="15"/>
      <c r="I11" s="22"/>
      <c r="J11" s="22"/>
      <c r="K11" s="20">
        <f t="shared" si="3"/>
        <v>25.05003848163603</v>
      </c>
      <c r="L11" s="21">
        <f t="shared" si="7"/>
        <v>0.18684260011881548</v>
      </c>
      <c r="M11" s="21">
        <f t="shared" si="4"/>
        <v>3.491015721915959E-2</v>
      </c>
      <c r="N11" s="17"/>
      <c r="O11" s="21">
        <f t="shared" si="5"/>
        <v>0.90505628775649904</v>
      </c>
      <c r="P11" s="21">
        <f t="shared" si="6"/>
        <v>0.81912688400757483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15.75" customHeight="1">
      <c r="A12" s="12">
        <v>110</v>
      </c>
      <c r="B12" s="12">
        <v>46.7</v>
      </c>
      <c r="C12" s="13">
        <v>46.1</v>
      </c>
      <c r="D12" s="15">
        <v>46.9</v>
      </c>
      <c r="E12" s="18">
        <f t="shared" si="0"/>
        <v>46.56666666666667</v>
      </c>
      <c r="F12" s="19">
        <f t="shared" si="1"/>
        <v>1.2266815969056775</v>
      </c>
      <c r="G12" s="19">
        <f t="shared" si="2"/>
        <v>27.914428243239527</v>
      </c>
      <c r="H12" s="17"/>
      <c r="I12" s="22"/>
      <c r="J12" s="22"/>
      <c r="K12" s="20">
        <f t="shared" si="3"/>
        <v>27.062348935245822</v>
      </c>
      <c r="L12" s="21">
        <f t="shared" si="7"/>
        <v>0.85207930799370502</v>
      </c>
      <c r="M12" s="21">
        <f t="shared" si="4"/>
        <v>0.72603914711103124</v>
      </c>
      <c r="N12" s="17"/>
      <c r="O12" s="21">
        <f t="shared" si="5"/>
        <v>0.99457984205891881</v>
      </c>
      <c r="P12" s="21">
        <f t="shared" si="6"/>
        <v>0.98918906222994385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15.75" customHeight="1">
      <c r="A13" s="12">
        <v>120</v>
      </c>
      <c r="B13" s="12">
        <v>51.6</v>
      </c>
      <c r="C13" s="13">
        <v>51.9</v>
      </c>
      <c r="D13" s="15">
        <v>51</v>
      </c>
      <c r="E13" s="18">
        <f t="shared" si="0"/>
        <v>51.5</v>
      </c>
      <c r="F13" s="19">
        <f t="shared" si="1"/>
        <v>1.3472963553338611</v>
      </c>
      <c r="G13" s="19">
        <f t="shared" si="2"/>
        <v>30.871719138013649</v>
      </c>
      <c r="H13" s="17"/>
      <c r="I13" s="22"/>
      <c r="J13" s="22"/>
      <c r="K13" s="20">
        <f t="shared" si="3"/>
        <v>29.77352747519453</v>
      </c>
      <c r="L13" s="21">
        <f t="shared" si="7"/>
        <v>1.0981916628191186</v>
      </c>
      <c r="M13" s="21">
        <f t="shared" si="4"/>
        <v>1.2060249282854207</v>
      </c>
      <c r="N13" s="17"/>
      <c r="O13" s="21">
        <f t="shared" si="5"/>
        <v>1.1151946004871025</v>
      </c>
      <c r="P13" s="21">
        <f t="shared" si="6"/>
        <v>1.2436589969555882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15.75" customHeight="1">
      <c r="A14" s="12">
        <v>130</v>
      </c>
      <c r="B14" s="12">
        <v>59.1</v>
      </c>
      <c r="C14" s="13">
        <v>58.8</v>
      </c>
      <c r="D14" s="15">
        <v>59</v>
      </c>
      <c r="E14" s="18">
        <f t="shared" si="0"/>
        <v>58.966666666666669</v>
      </c>
      <c r="F14" s="19">
        <f t="shared" si="1"/>
        <v>1.5320888862379562</v>
      </c>
      <c r="G14" s="19">
        <f t="shared" si="2"/>
        <v>35.347618870644752</v>
      </c>
      <c r="H14" s="17"/>
      <c r="I14" s="22"/>
      <c r="J14" s="22"/>
      <c r="K14" s="20">
        <f t="shared" si="3"/>
        <v>33.927293984856782</v>
      </c>
      <c r="L14" s="21">
        <f t="shared" si="7"/>
        <v>1.42032488578797</v>
      </c>
      <c r="M14" s="21">
        <f t="shared" si="4"/>
        <v>2.0173227811886099</v>
      </c>
      <c r="N14" s="17"/>
      <c r="O14" s="21">
        <f t="shared" si="5"/>
        <v>1.2999871313911977</v>
      </c>
      <c r="P14" s="21">
        <f t="shared" si="6"/>
        <v>1.6899665417827152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15.75" customHeight="1">
      <c r="A15" s="12">
        <v>140</v>
      </c>
      <c r="B15" s="12">
        <v>65.8</v>
      </c>
      <c r="C15" s="13">
        <v>65</v>
      </c>
      <c r="D15" s="15">
        <v>65.7</v>
      </c>
      <c r="E15" s="18">
        <f t="shared" si="0"/>
        <v>65.5</v>
      </c>
      <c r="F15" s="19">
        <f t="shared" si="1"/>
        <v>1.8793852415718173</v>
      </c>
      <c r="G15" s="19">
        <f t="shared" si="2"/>
        <v>39.264031136696964</v>
      </c>
      <c r="H15" s="17"/>
      <c r="I15" s="23"/>
      <c r="J15" s="22"/>
      <c r="K15" s="20">
        <f t="shared" si="3"/>
        <v>41.73382146005131</v>
      </c>
      <c r="L15" s="21">
        <f t="shared" si="7"/>
        <v>-2.4697903233543457</v>
      </c>
      <c r="M15" s="21">
        <f t="shared" si="4"/>
        <v>6.099864241334763</v>
      </c>
      <c r="N15" s="17"/>
      <c r="O15" s="21">
        <f t="shared" si="5"/>
        <v>1.6472834867250588</v>
      </c>
      <c r="P15" s="21">
        <f t="shared" si="6"/>
        <v>2.7135428856370667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15.75" customHeight="1">
      <c r="A16" s="12"/>
      <c r="B16" s="1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15.75" customHeight="1">
      <c r="A17" s="12"/>
      <c r="B17" s="1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15.75" customHeight="1">
      <c r="A18" s="12"/>
      <c r="B18" s="1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15.75" customHeight="1">
      <c r="A19" s="12"/>
      <c r="B19" s="12"/>
      <c r="C19" s="15"/>
      <c r="D19" s="22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15.75" customHeight="1">
      <c r="A20" s="12"/>
      <c r="B20" s="12"/>
      <c r="C20" s="22"/>
      <c r="D20" s="22"/>
      <c r="E20" s="22"/>
      <c r="F20" s="2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15.75" customHeight="1">
      <c r="A21" s="12"/>
      <c r="B21" s="12"/>
      <c r="C21" s="22"/>
      <c r="D21" s="22"/>
      <c r="E21" s="22"/>
      <c r="F21" s="22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15.75" customHeight="1">
      <c r="A22" s="12"/>
      <c r="B22" s="12"/>
      <c r="C22" s="15"/>
      <c r="D22" s="22"/>
      <c r="E22" s="15"/>
      <c r="F22" s="1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15.75" customHeight="1">
      <c r="A23" s="12"/>
      <c r="B23" s="12"/>
      <c r="C23" s="15"/>
      <c r="D23" s="15"/>
      <c r="E23" s="15"/>
      <c r="F23" s="15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15.75" customHeight="1">
      <c r="A24" s="12"/>
      <c r="B24" s="1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15.75" customHeight="1">
      <c r="A25" s="12"/>
      <c r="B25" s="1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5.6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5.6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15.6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15.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15.6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15.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15.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15.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15.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15.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15.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15.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15.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15.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15.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15.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15.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15.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15.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15.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5.6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5.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5.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5.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5.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5.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5.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5.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5.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5.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5.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5.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5.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5.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15.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15.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15.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.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15.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5.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15.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15.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15.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15.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15.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15.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15.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5.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15.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15.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15.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15.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15.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15.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15.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15.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15.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15.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15.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15.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15.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15.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15.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15.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15.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15.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15.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15.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15.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15.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15.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15.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15.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15.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15.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15.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15.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15.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15.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15.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15.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15.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15.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15.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15.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15.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15.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15.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15.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15.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15.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15.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15.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15.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15.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15.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15.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5.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15.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15.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15.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15.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15.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15.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15.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15.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15.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15.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15.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15.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15.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15.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15.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15.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15.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15.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15.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15.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15.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15.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15.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15.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15.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15.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15.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15.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15.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15.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15.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15.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15.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15.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15.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5.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15.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15.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15.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15.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15.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15.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5.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15.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15.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15.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15.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15.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15.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15.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5.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15.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15.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15.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15.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15.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15.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15.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15.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15.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15.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15.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15.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15.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15.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15.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15.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15.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15.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15.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15.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15.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15.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15.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15.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15.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15.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15.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5.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5.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15.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15.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15.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15.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15.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15.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15.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15.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15.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15.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5.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15.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15.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15.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15.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15.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15.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15.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15.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15.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15.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15.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15.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15.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15.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15.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15.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15.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15.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5.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5.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5.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5.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5.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5.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5.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5.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5.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5.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5.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5.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5.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5.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5.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5.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5.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5.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5.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5.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5.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5.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5.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5.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5.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5.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5.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5.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5.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5.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5.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5.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5.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5.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5.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5.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5.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5.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5.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5.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5.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5.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5.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15.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15.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15.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15.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15.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15.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15.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15.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15.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15.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15.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15.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15.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15.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15.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15.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15.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15.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15.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15.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15.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15.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15.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15.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15.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15.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15.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15.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15.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15.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15.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15.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15.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15.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15.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15.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15.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15.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15.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15.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15.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15.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15.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15.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15.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15.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15.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5.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5.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15.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15.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15.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15.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15.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15.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5.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15.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15.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15.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15.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15.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15.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15.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15.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15.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15.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15.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15.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15.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15.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15.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ht="15.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ht="15.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ht="15.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ht="15.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ht="15.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ht="15.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ht="15.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ht="15.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ht="15.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ht="15.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ht="15.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15.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15.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15.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15.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15.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15.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15.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15.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15.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15.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15.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15.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15.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15.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15.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15.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15.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15.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15.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15.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15.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15.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15.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15.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5.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15.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15.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15.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15.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15.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15.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15.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15.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15.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15.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15.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15.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15.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15.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15.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15.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15.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15.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15.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15.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15.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15.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15.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15.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15.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15.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15.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15.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15.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15.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15.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15.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15.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15.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15.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15.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15.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15.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15.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15.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15.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15.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15.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15.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15.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15.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15.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15.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15.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15.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15.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5.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15.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15.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15.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15.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15.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15.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15.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15.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15.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15.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15.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15.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15.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15.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15.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15.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15.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15.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15.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15.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15.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15.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15.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15.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15.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15.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15.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15.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15.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15.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15.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15.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15.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15.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15.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15.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15.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15.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15.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15.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15.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15.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15.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15.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15.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15.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15.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15.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15.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15.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15.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15.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15.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15.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15.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15.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15.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15.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15.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15.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5.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15.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15.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15.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15.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15.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15.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15.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15.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15.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15.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15.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15.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15.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15.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15.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15.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15.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15.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15.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15.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15.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15.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15.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15.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15.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15.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15.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15.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15.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15.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15.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15.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15.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15.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15.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15.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15.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15.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15.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15.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15.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15.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15.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15.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15.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15.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15.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15.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15.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15.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15.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15.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15.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15.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15.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15.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15.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15.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15.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15.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15.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5.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15.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15.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15.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15.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15.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15.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15.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15.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15.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15.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15.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15.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15.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15.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15.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15.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15.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15.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15.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15.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15.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15.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15.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15.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15.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15.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15.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15.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15.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15.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15.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15.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15.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15.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15.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15.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15.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15.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15.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15.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15.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15.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15.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15.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15.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15.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15.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15.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15.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15.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15.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15.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15.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15.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15.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15.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15.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15.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15.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5.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15.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15.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15.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15.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15.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15.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15.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15.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15.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15.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15.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15.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15.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15.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15.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15.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15.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15.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15.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15.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15.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15.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15.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15.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15.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15.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15.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15.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15.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15.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15.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15.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15.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15.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15.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15.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15.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15.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15.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15.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15.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15.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15.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15.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15.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15.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15.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15.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15.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15.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15.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15.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15.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5.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15.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15.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15.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15.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15.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15.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15.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15.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15.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15.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15.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15.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15.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15.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15.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15.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15.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15.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15.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15.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15.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15.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15.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15.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15.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15.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15.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15.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15.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15.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15.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15.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15.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15.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15.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15.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15.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15.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15.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15.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15.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15.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15.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15.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15.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15.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15.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15.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15.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15.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15.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15.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15.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15.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15.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15.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15.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15.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15.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5.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15.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15.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15.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15.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15.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15.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15.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15.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15.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15.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15.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15.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15.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15.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15.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15.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15.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15.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15.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15.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15.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15.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15.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15.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15.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15.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15.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15.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15.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15.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15.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15.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15.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15.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15.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15.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15.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15.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15.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15.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15.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15.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15.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15.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15.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15.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15.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15.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15.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15.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15.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15.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15.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15.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15.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15.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5.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15.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15.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15.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15.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15.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15.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15.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15.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15.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15.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15.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15.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15.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15.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15.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15.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15.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15.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15.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15.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15.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15.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15.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15.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15.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15.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15.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15.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15.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15.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15.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15.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15.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15.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15.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15.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15.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15.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15.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15.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15.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15.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15.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15.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15.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15.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15.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15.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15.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15.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15.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15.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15.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15.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15.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15.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15.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5.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15.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15.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15.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15.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15.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15.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15.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15.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15.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15.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15.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15.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15.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15.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15.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15.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15.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15.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15.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15.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15.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15.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15.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15.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15.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15.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15.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15.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15.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15.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15.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15.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15.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15.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15.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15.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15.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15.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15.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15.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15.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15.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15.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15.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15.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15.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15.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15.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15.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15.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15.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15.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15.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15.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15.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5.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15.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15.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15.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15.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15.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15.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15.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15.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15.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15.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15.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15.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15.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15.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15.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15.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15.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15.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15.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15.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15.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15.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15.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15.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15.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15.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15.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15.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15.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15.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15.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15.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15.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15.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15.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15.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15.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15.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15.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15.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15.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15.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15.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15.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15.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15.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15.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15.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15.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15.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15.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15.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15.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15.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15.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15.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5.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15.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15.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15.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15.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15.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15.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15.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15.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15.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15.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15.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15.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15.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15.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15.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15.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15.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15.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15.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15.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15.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15.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15.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15.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15.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15.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15.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15.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15.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15.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15.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15.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15.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15.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15.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15.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15.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15.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15.6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15.6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spans="1:29" ht="15.6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ht="15.6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Лист1.01</vt:lpstr>
      <vt:lpstr>Лист1old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2026-06-01T15:19:09Z</dcterms:modified>
</cp:coreProperties>
</file>